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updateLinks="always" codeName="EstaPastaDeTrabalho"/>
  <mc:AlternateContent xmlns:mc="http://schemas.openxmlformats.org/markup-compatibility/2006">
    <mc:Choice Requires="x15">
      <x15ac:absPath xmlns:x15ac="http://schemas.microsoft.com/office/spreadsheetml/2010/11/ac" url="C:\Users\Carlos Isaque\Desktop\"/>
    </mc:Choice>
  </mc:AlternateContent>
  <bookViews>
    <workbookView xWindow="0" yWindow="0" windowWidth="20460" windowHeight="7680" firstSheet="2" activeTab="5"/>
  </bookViews>
  <sheets>
    <sheet name="TOTAL" sheetId="10" r:id="rId1"/>
    <sheet name="CUSTOS" sheetId="6" r:id="rId2"/>
    <sheet name="SANDRO" sheetId="5" r:id="rId3"/>
    <sheet name="MATERIAL" sheetId="7" r:id="rId4"/>
    <sheet name="BANCO DE DADOS SANDRO" sheetId="4" r:id="rId5"/>
    <sheet name="BANCO DE DADOS MATERIAL" sheetId="9" r:id="rId6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2" i="7" l="1"/>
  <c r="G16" i="5"/>
  <c r="F12" i="7"/>
  <c r="B27" i="5" l="1"/>
  <c r="B24" i="5"/>
  <c r="B26" i="5" s="1"/>
  <c r="C3" i="10" s="1"/>
  <c r="B10" i="10"/>
  <c r="C4" i="10" l="1"/>
  <c r="B16" i="7"/>
  <c r="G4" i="10" s="1"/>
  <c r="B15" i="7"/>
  <c r="G3" i="10" l="1"/>
  <c r="G5" i="10" s="1"/>
  <c r="B17" i="7"/>
  <c r="I12" i="6"/>
  <c r="E11" i="6"/>
  <c r="E10" i="6"/>
  <c r="E9" i="6"/>
  <c r="D8" i="6"/>
  <c r="E8" i="6" s="1"/>
  <c r="D7" i="6"/>
  <c r="E7" i="6" s="1"/>
  <c r="D6" i="6"/>
  <c r="D5" i="6"/>
  <c r="E5" i="6" s="1"/>
  <c r="D4" i="6"/>
  <c r="E4" i="6" s="1"/>
  <c r="D3" i="6"/>
  <c r="E3" i="6" s="1"/>
  <c r="B28" i="5" l="1"/>
  <c r="C5" i="10" l="1"/>
  <c r="C6" i="10" s="1"/>
  <c r="B8" i="10" s="1"/>
  <c r="B29" i="5"/>
  <c r="B12" i="10" l="1"/>
  <c r="B13" i="10"/>
</calcChain>
</file>

<file path=xl/sharedStrings.xml><?xml version="1.0" encoding="utf-8"?>
<sst xmlns="http://schemas.openxmlformats.org/spreadsheetml/2006/main" count="136" uniqueCount="92">
  <si>
    <t>TOTAL</t>
  </si>
  <si>
    <t>Acabamento</t>
  </si>
  <si>
    <t>ANALISE DE CUSTOS</t>
  </si>
  <si>
    <t>SANDRO</t>
  </si>
  <si>
    <t xml:space="preserve">CLIENTE </t>
  </si>
  <si>
    <t>Área</t>
  </si>
  <si>
    <t>Objeto</t>
  </si>
  <si>
    <t>Cod. Acabamento</t>
  </si>
  <si>
    <t>metragem</t>
  </si>
  <si>
    <t>ACABAMENTOS</t>
  </si>
  <si>
    <t>TIPO</t>
  </si>
  <si>
    <t>COD.</t>
  </si>
  <si>
    <t>VALOR M²</t>
  </si>
  <si>
    <t>VALOR CLIENTE</t>
  </si>
  <si>
    <t>SALDO</t>
  </si>
  <si>
    <t>RETO SIMPLES</t>
  </si>
  <si>
    <t>RETO DUPLO</t>
  </si>
  <si>
    <t>MEIA CANA SIMPLES</t>
  </si>
  <si>
    <t>MEIA CANA DUPLA</t>
  </si>
  <si>
    <t>ABALOADO SIMPLES</t>
  </si>
  <si>
    <t>ABALOADO DUPLO</t>
  </si>
  <si>
    <t>MEIA ESQUADRIA</t>
  </si>
  <si>
    <t>MEIA ESQUADRIA IMPORTADOS</t>
  </si>
  <si>
    <t>MEIA ESQUADRIA PORCELANATO</t>
  </si>
  <si>
    <t>MONTAGEM</t>
  </si>
  <si>
    <t>CERRADOR</t>
  </si>
  <si>
    <t>MEDIDAS CUBAS ESCULPIDAS E NICHOS</t>
  </si>
  <si>
    <t>VALOR</t>
  </si>
  <si>
    <t xml:space="preserve">TIPO </t>
  </si>
  <si>
    <t>ATÉ 1 X 0,40</t>
  </si>
  <si>
    <t>GRANITO</t>
  </si>
  <si>
    <t>ATÉ 1,01 X 0,40</t>
  </si>
  <si>
    <t>PORCELANATO RODAPÉ</t>
  </si>
  <si>
    <t>ATÉ 1,51 X 0,40</t>
  </si>
  <si>
    <t>ATÉ 2,01 X 0,40</t>
  </si>
  <si>
    <t>I</t>
  </si>
  <si>
    <t>II</t>
  </si>
  <si>
    <t>III</t>
  </si>
  <si>
    <t>IV</t>
  </si>
  <si>
    <t>V</t>
  </si>
  <si>
    <t>VI</t>
  </si>
  <si>
    <t>VII</t>
  </si>
  <si>
    <t>VIII</t>
  </si>
  <si>
    <t>IX</t>
  </si>
  <si>
    <t>Cerrador</t>
  </si>
  <si>
    <t>Custo Acabamento</t>
  </si>
  <si>
    <t>Valor</t>
  </si>
  <si>
    <t>m²</t>
  </si>
  <si>
    <t>Material</t>
  </si>
  <si>
    <t>Cod. Material</t>
  </si>
  <si>
    <t>CUSTO MATERIAL</t>
  </si>
  <si>
    <t>BANCO DE MATERIAIS</t>
  </si>
  <si>
    <t>CÓDIGO</t>
  </si>
  <si>
    <t>MATERIAL</t>
  </si>
  <si>
    <t>preco fornecedor</t>
  </si>
  <si>
    <t>BRANCO ITAUNA</t>
  </si>
  <si>
    <t>BRANCO PRIME</t>
  </si>
  <si>
    <t>MARROM ABSOLUTO</t>
  </si>
  <si>
    <t>MARROM CAFÉ</t>
  </si>
  <si>
    <t>PRETO SÃO GABRIEL</t>
  </si>
  <si>
    <t>TRAVERTINO</t>
  </si>
  <si>
    <t>VERDE CANDEIAS</t>
  </si>
  <si>
    <t>VERDE PEROLA</t>
  </si>
  <si>
    <t>MÁRMORE VERDE CURACOL</t>
  </si>
  <si>
    <t>BRANCO ITAUNA ESCOVADO</t>
  </si>
  <si>
    <t>BALANÇO</t>
  </si>
  <si>
    <t>Montagem</t>
  </si>
  <si>
    <t>Outros</t>
  </si>
  <si>
    <t>Frete p/ cliente</t>
  </si>
  <si>
    <t>FRETE FORNECEDOR</t>
  </si>
  <si>
    <t>Custos Obra</t>
  </si>
  <si>
    <t>Valor do orçamento</t>
  </si>
  <si>
    <t>Desconto</t>
  </si>
  <si>
    <t>Valor Fechado</t>
  </si>
  <si>
    <t>Lucro</t>
  </si>
  <si>
    <t>Fator</t>
  </si>
  <si>
    <t>PORCELANATO</t>
  </si>
  <si>
    <t>ARDÓSIA</t>
  </si>
  <si>
    <t>GRANITO BRANCO DALAS</t>
  </si>
  <si>
    <t>BRANCO PARANA</t>
  </si>
  <si>
    <t>BRANCO ZEUS</t>
  </si>
  <si>
    <t>GRANITO ANDORINHA ESCOVADO</t>
  </si>
  <si>
    <t>GRANITO BRANCO SIENA</t>
  </si>
  <si>
    <t>GRANITO VERDE UBATUBA</t>
  </si>
  <si>
    <t>PRETO SÃO GABRIEL ESCOVADO</t>
  </si>
  <si>
    <t>IMPORTADO OCRE</t>
  </si>
  <si>
    <t>IMPORTADO ONIX</t>
  </si>
  <si>
    <t>IMPORTADO CINZA CLEAN</t>
  </si>
  <si>
    <t xml:space="preserve">IMPORTADO CLASSIC BROWN </t>
  </si>
  <si>
    <t>IMPORTADO CLASSIC WITHE</t>
  </si>
  <si>
    <t>IMPORTADO CREMA MARFIL</t>
  </si>
  <si>
    <t xml:space="preserve">IMPORTADO CREMA MOCA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</si>
</sst>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4" formatCode="_(&quot;R$&quot;* #,##0.00_);_(&quot;R$&quot;* \(#,##0.00\);_(&quot;R$&quot;* &quot;-&quot;??_);_(@_)"/>
    <numFmt numFmtId="164" formatCode="_-&quot;R$&quot;* #,##0.00_-;\-&quot;R$&quot;* #,##0.00_-;_-&quot;R$&quot;* &quot;-&quot;??_-;_-@_-"/>
    <numFmt numFmtId="165" formatCode="&quot;R$&quot;#,##0.00"/>
    <numFmt numFmtId="166" formatCode="_(&quot;R$&quot;* #,##0.00_);_(&quot;R$&quot;* \(#,##0.00\);_(&quot;R$&quot;* &quot;-&quot;??_);_(@_)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2" tint="-0.249977111117893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6" fontId="1" fillId="0" borderId="0" applyFont="0" applyFill="0" applyBorder="0" applyAlignment="0" applyProtection="0"/>
  </cellStyleXfs>
  <cellXfs count="64">
    <xf numFmtId="0" fontId="0" fillId="0" borderId="0" xfId="0"/>
    <xf numFmtId="0" fontId="2" fillId="0" borderId="0" xfId="0" applyFont="1"/>
    <xf numFmtId="0" fontId="2" fillId="0" borderId="1" xfId="0" applyFont="1" applyBorder="1" applyAlignment="1">
      <alignment horizontal="center" vertical="center"/>
    </xf>
    <xf numFmtId="164" fontId="0" fillId="0" borderId="1" xfId="2" applyFont="1" applyBorder="1" applyAlignment="1">
      <alignment horizontal="center" vertical="center"/>
    </xf>
    <xf numFmtId="0" fontId="0" fillId="0" borderId="1" xfId="0" applyBorder="1"/>
    <xf numFmtId="0" fontId="0" fillId="2" borderId="5" xfId="0" applyFill="1" applyBorder="1"/>
    <xf numFmtId="0" fontId="0" fillId="2" borderId="3" xfId="0" applyFill="1" applyBorder="1" applyAlignment="1"/>
    <xf numFmtId="0" fontId="0" fillId="2" borderId="0" xfId="0" applyFill="1" applyBorder="1" applyAlignment="1"/>
    <xf numFmtId="0" fontId="0" fillId="2" borderId="4" xfId="0" applyFill="1" applyBorder="1" applyAlignment="1"/>
    <xf numFmtId="0" fontId="2" fillId="2" borderId="6" xfId="0" applyFont="1" applyFill="1" applyBorder="1" applyAlignment="1"/>
    <xf numFmtId="0" fontId="2" fillId="2" borderId="9" xfId="0" applyFont="1" applyFill="1" applyBorder="1"/>
    <xf numFmtId="0" fontId="0" fillId="0" borderId="1" xfId="0" applyBorder="1" applyAlignment="1">
      <alignment vertical="center"/>
    </xf>
    <xf numFmtId="166" fontId="0" fillId="0" borderId="1" xfId="0" applyNumberFormat="1" applyBorder="1"/>
    <xf numFmtId="165" fontId="0" fillId="0" borderId="1" xfId="0" applyNumberFormat="1" applyBorder="1"/>
    <xf numFmtId="166" fontId="0" fillId="0" borderId="0" xfId="0" applyNumberFormat="1" applyBorder="1"/>
    <xf numFmtId="0" fontId="0" fillId="0" borderId="1" xfId="0" applyBorder="1" applyAlignment="1">
      <alignment vertical="top"/>
    </xf>
    <xf numFmtId="0" fontId="0" fillId="0" borderId="2" xfId="0" applyBorder="1" applyAlignment="1">
      <alignment vertical="top"/>
    </xf>
    <xf numFmtId="165" fontId="0" fillId="0" borderId="0" xfId="0" applyNumberFormat="1"/>
    <xf numFmtId="0" fontId="2" fillId="2" borderId="5" xfId="0" applyFont="1" applyFill="1" applyBorder="1"/>
    <xf numFmtId="0" fontId="0" fillId="0" borderId="9" xfId="0" applyBorder="1"/>
    <xf numFmtId="166" fontId="0" fillId="0" borderId="9" xfId="0" applyNumberFormat="1" applyBorder="1"/>
    <xf numFmtId="166" fontId="0" fillId="0" borderId="7" xfId="3" applyFont="1" applyBorder="1"/>
    <xf numFmtId="0" fontId="0" fillId="0" borderId="10" xfId="0" applyBorder="1"/>
    <xf numFmtId="166" fontId="0" fillId="0" borderId="10" xfId="0" applyNumberFormat="1" applyBorder="1"/>
    <xf numFmtId="0" fontId="0" fillId="0" borderId="11" xfId="0" applyBorder="1"/>
    <xf numFmtId="166" fontId="0" fillId="0" borderId="8" xfId="3" applyFont="1" applyBorder="1"/>
    <xf numFmtId="166" fontId="0" fillId="0" borderId="11" xfId="0" applyNumberFormat="1" applyBorder="1"/>
    <xf numFmtId="1" fontId="0" fillId="0" borderId="1" xfId="0" applyNumberFormat="1" applyBorder="1"/>
    <xf numFmtId="164" fontId="0" fillId="0" borderId="0" xfId="0" applyNumberFormat="1"/>
    <xf numFmtId="0" fontId="0" fillId="0" borderId="0" xfId="0" applyAlignment="1">
      <alignment horizontal="center" vertical="center"/>
    </xf>
    <xf numFmtId="44" fontId="0" fillId="0" borderId="1" xfId="1" applyFont="1" applyBorder="1"/>
    <xf numFmtId="0" fontId="2" fillId="2" borderId="6" xfId="0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center" vertical="center"/>
    </xf>
    <xf numFmtId="0" fontId="2" fillId="2" borderId="9" xfId="0" applyFont="1" applyFill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64" fontId="0" fillId="0" borderId="1" xfId="0" applyNumberFormat="1" applyBorder="1"/>
    <xf numFmtId="0" fontId="0" fillId="0" borderId="1" xfId="0" applyBorder="1" applyAlignment="1">
      <alignment horizontal="center" vertical="center"/>
    </xf>
    <xf numFmtId="164" fontId="0" fillId="2" borderId="1" xfId="0" applyNumberFormat="1" applyFill="1" applyBorder="1"/>
    <xf numFmtId="44" fontId="0" fillId="0" borderId="1" xfId="0" applyNumberFormat="1" applyBorder="1"/>
    <xf numFmtId="0" fontId="2" fillId="0" borderId="1" xfId="0" applyFont="1" applyBorder="1" applyAlignment="1">
      <alignment horizontal="center"/>
    </xf>
    <xf numFmtId="0" fontId="2" fillId="0" borderId="13" xfId="0" applyFont="1" applyBorder="1" applyAlignment="1">
      <alignment horizontal="center"/>
    </xf>
    <xf numFmtId="0" fontId="2" fillId="0" borderId="1" xfId="0" applyFont="1" applyBorder="1"/>
    <xf numFmtId="0" fontId="3" fillId="3" borderId="5" xfId="0" applyFont="1" applyFill="1" applyBorder="1" applyAlignment="1">
      <alignment horizontal="center" vertical="center"/>
    </xf>
    <xf numFmtId="0" fontId="4" fillId="3" borderId="5" xfId="0" applyFont="1" applyFill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4" fillId="3" borderId="15" xfId="0" applyFont="1" applyFill="1" applyBorder="1" applyAlignment="1">
      <alignment horizontal="center" vertical="center"/>
    </xf>
    <xf numFmtId="44" fontId="2" fillId="3" borderId="1" xfId="0" applyNumberFormat="1" applyFont="1" applyFill="1" applyBorder="1"/>
    <xf numFmtId="44" fontId="2" fillId="3" borderId="1" xfId="1" applyFont="1" applyFill="1" applyBorder="1"/>
    <xf numFmtId="0" fontId="0" fillId="0" borderId="0" xfId="0" applyBorder="1"/>
    <xf numFmtId="44" fontId="0" fillId="0" borderId="0" xfId="1" applyFont="1" applyBorder="1"/>
    <xf numFmtId="44" fontId="5" fillId="3" borderId="1" xfId="0" applyNumberFormat="1" applyFont="1" applyFill="1" applyBorder="1" applyAlignment="1">
      <alignment horizontal="center" vertical="center"/>
    </xf>
    <xf numFmtId="44" fontId="5" fillId="3" borderId="1" xfId="1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2" fontId="5" fillId="3" borderId="1" xfId="1" applyNumberFormat="1" applyFont="1" applyFill="1" applyBorder="1" applyAlignment="1">
      <alignment horizontal="center" vertical="center"/>
    </xf>
    <xf numFmtId="0" fontId="0" fillId="2" borderId="1" xfId="0" applyFill="1" applyBorder="1"/>
    <xf numFmtId="2" fontId="0" fillId="2" borderId="1" xfId="1" applyNumberFormat="1" applyFont="1" applyFill="1" applyBorder="1"/>
    <xf numFmtId="0" fontId="6" fillId="2" borderId="5" xfId="0" applyFont="1" applyFill="1" applyBorder="1"/>
    <xf numFmtId="0" fontId="6" fillId="0" borderId="0" xfId="0" applyFont="1"/>
    <xf numFmtId="164" fontId="0" fillId="0" borderId="1" xfId="2" applyFont="1" applyFill="1" applyBorder="1" applyAlignment="1">
      <alignment horizontal="center" vertical="center"/>
    </xf>
    <xf numFmtId="164" fontId="0" fillId="0" borderId="14" xfId="2" applyFont="1" applyBorder="1" applyAlignment="1">
      <alignment horizontal="center" vertical="center"/>
    </xf>
    <xf numFmtId="0" fontId="7" fillId="0" borderId="1" xfId="0" applyFont="1" applyBorder="1" applyAlignment="1">
      <alignment horizontal="left" vertical="center"/>
    </xf>
    <xf numFmtId="0" fontId="7" fillId="0" borderId="1" xfId="0" applyFont="1" applyBorder="1" applyAlignment="1">
      <alignment horizontal="left"/>
    </xf>
    <xf numFmtId="0" fontId="7" fillId="0" borderId="1" xfId="0" applyFont="1" applyFill="1" applyBorder="1" applyAlignment="1">
      <alignment horizontal="left" vertical="center"/>
    </xf>
    <xf numFmtId="0" fontId="7" fillId="0" borderId="14" xfId="0" applyFont="1" applyFill="1" applyBorder="1" applyAlignment="1">
      <alignment horizontal="left" vertical="center"/>
    </xf>
  </cellXfs>
  <cellStyles count="4">
    <cellStyle name="Currency" xfId="1" builtinId="4"/>
    <cellStyle name="Moeda 2" xfId="2"/>
    <cellStyle name="Moeda 3" xfId="3"/>
    <cellStyle name="Normal" xfId="0" builtinId="0"/>
  </cellStyles>
  <dxfs count="0"/>
  <tableStyles count="0" defaultTableStyle="TableStyleMedium2" defaultPivotStyle="PivotStyleLight16"/>
  <colors>
    <mruColors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13"/>
  <sheetViews>
    <sheetView zoomScale="90" zoomScaleNormal="90" workbookViewId="0">
      <selection activeCell="B14" sqref="B14"/>
    </sheetView>
  </sheetViews>
  <sheetFormatPr defaultRowHeight="15" x14ac:dyDescent="0.25"/>
  <cols>
    <col min="1" max="1" width="39.5703125" customWidth="1"/>
    <col min="2" max="2" width="40.28515625" customWidth="1"/>
    <col min="3" max="3" width="12.7109375" bestFit="1" customWidth="1"/>
    <col min="5" max="5" width="18.28515625" customWidth="1"/>
    <col min="6" max="6" width="23" customWidth="1"/>
    <col min="7" max="7" width="20.85546875" customWidth="1"/>
    <col min="9" max="9" width="11.7109375" customWidth="1"/>
    <col min="10" max="10" width="14.85546875" bestFit="1" customWidth="1"/>
    <col min="11" max="11" width="12.7109375" bestFit="1" customWidth="1"/>
  </cols>
  <sheetData>
    <row r="1" spans="1:11" ht="32.25" thickBot="1" x14ac:dyDescent="0.3">
      <c r="A1" s="42" t="s">
        <v>65</v>
      </c>
    </row>
    <row r="2" spans="1:11" ht="18.75" customHeight="1" thickBot="1" x14ac:dyDescent="0.3"/>
    <row r="3" spans="1:11" ht="18.75" customHeight="1" thickBot="1" x14ac:dyDescent="0.3">
      <c r="A3" s="43" t="s">
        <v>3</v>
      </c>
      <c r="B3" s="44" t="s">
        <v>66</v>
      </c>
      <c r="C3" s="30">
        <f>SANDRO!B26</f>
        <v>0</v>
      </c>
      <c r="E3" s="43" t="s">
        <v>53</v>
      </c>
      <c r="F3" s="40" t="s">
        <v>50</v>
      </c>
      <c r="G3" s="38">
        <f>MATERIAL!B15</f>
        <v>0</v>
      </c>
      <c r="I3" s="45" t="s">
        <v>67</v>
      </c>
      <c r="J3" s="2" t="s">
        <v>68</v>
      </c>
      <c r="K3" s="30"/>
    </row>
    <row r="4" spans="1:11" x14ac:dyDescent="0.25">
      <c r="B4" s="2" t="s">
        <v>44</v>
      </c>
      <c r="C4" s="30">
        <f>SANDRO!B27</f>
        <v>0</v>
      </c>
      <c r="F4" s="39" t="s">
        <v>69</v>
      </c>
      <c r="G4" s="38">
        <f>MATERIAL!B16</f>
        <v>0</v>
      </c>
    </row>
    <row r="5" spans="1:11" x14ac:dyDescent="0.25">
      <c r="B5" s="2" t="s">
        <v>45</v>
      </c>
      <c r="C5" s="30">
        <f>SANDRO!B28</f>
        <v>0</v>
      </c>
      <c r="F5" s="39" t="s">
        <v>0</v>
      </c>
      <c r="G5" s="46">
        <f>G3+G4</f>
        <v>0</v>
      </c>
    </row>
    <row r="6" spans="1:11" x14ac:dyDescent="0.25">
      <c r="B6" s="39" t="s">
        <v>0</v>
      </c>
      <c r="C6" s="47">
        <f>C3+C4+C5</f>
        <v>0</v>
      </c>
    </row>
    <row r="7" spans="1:11" x14ac:dyDescent="0.25">
      <c r="B7" s="48"/>
      <c r="C7" s="49"/>
    </row>
    <row r="8" spans="1:11" ht="15.75" x14ac:dyDescent="0.25">
      <c r="A8" s="2" t="s">
        <v>70</v>
      </c>
      <c r="B8" s="50">
        <f>C6+G5+K3</f>
        <v>0</v>
      </c>
    </row>
    <row r="9" spans="1:11" ht="15.75" x14ac:dyDescent="0.25">
      <c r="A9" s="2" t="s">
        <v>71</v>
      </c>
      <c r="B9" s="51"/>
    </row>
    <row r="10" spans="1:11" ht="15.75" x14ac:dyDescent="0.25">
      <c r="A10" s="2" t="s">
        <v>72</v>
      </c>
      <c r="B10" s="51">
        <f>B9-B11</f>
        <v>0</v>
      </c>
    </row>
    <row r="11" spans="1:11" ht="15.75" x14ac:dyDescent="0.25">
      <c r="A11" s="2" t="s">
        <v>73</v>
      </c>
      <c r="B11" s="51"/>
    </row>
    <row r="12" spans="1:11" ht="15.75" x14ac:dyDescent="0.25">
      <c r="A12" s="2" t="s">
        <v>74</v>
      </c>
      <c r="B12" s="51">
        <f>B11-B8</f>
        <v>0</v>
      </c>
    </row>
    <row r="13" spans="1:11" ht="15.75" x14ac:dyDescent="0.25">
      <c r="A13" s="52" t="s">
        <v>75</v>
      </c>
      <c r="B13" s="53" t="e">
        <f>B9/B8</f>
        <v>#DIV/0!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4"/>
  <dimension ref="A1:J19"/>
  <sheetViews>
    <sheetView zoomScale="110" zoomScaleNormal="110" workbookViewId="0">
      <selection activeCell="E19" sqref="A1:E19"/>
    </sheetView>
  </sheetViews>
  <sheetFormatPr defaultRowHeight="15" x14ac:dyDescent="0.25"/>
  <cols>
    <col min="1" max="1" width="36.42578125" bestFit="1" customWidth="1"/>
    <col min="2" max="2" width="16.42578125" bestFit="1" customWidth="1"/>
    <col min="3" max="3" width="14.7109375" bestFit="1" customWidth="1"/>
    <col min="4" max="4" width="22.28515625" bestFit="1" customWidth="1"/>
    <col min="5" max="5" width="15.28515625" customWidth="1"/>
    <col min="7" max="7" width="10.140625" bestFit="1" customWidth="1"/>
    <col min="8" max="8" width="15.7109375" customWidth="1"/>
    <col min="9" max="9" width="13.85546875" customWidth="1"/>
    <col min="10" max="10" width="9.85546875" customWidth="1"/>
    <col min="12" max="12" width="36" bestFit="1" customWidth="1"/>
    <col min="13" max="13" width="10.85546875" bestFit="1" customWidth="1"/>
    <col min="15" max="15" width="14.28515625" bestFit="1" customWidth="1"/>
    <col min="16" max="16" width="11.140625" customWidth="1"/>
  </cols>
  <sheetData>
    <row r="1" spans="1:10" ht="15.75" thickBot="1" x14ac:dyDescent="0.3">
      <c r="A1" s="6" t="s">
        <v>9</v>
      </c>
      <c r="B1" s="7"/>
      <c r="C1" s="8"/>
    </row>
    <row r="2" spans="1:10" x14ac:dyDescent="0.25">
      <c r="A2" s="9" t="s">
        <v>10</v>
      </c>
      <c r="B2" s="10" t="s">
        <v>11</v>
      </c>
      <c r="C2" s="10" t="s">
        <v>12</v>
      </c>
      <c r="D2" s="10" t="s">
        <v>13</v>
      </c>
      <c r="E2" s="10" t="s">
        <v>14</v>
      </c>
    </row>
    <row r="3" spans="1:10" x14ac:dyDescent="0.25">
      <c r="A3" s="11" t="s">
        <v>15</v>
      </c>
      <c r="B3" s="27">
        <v>1</v>
      </c>
      <c r="C3" s="12">
        <v>8</v>
      </c>
      <c r="D3" s="12">
        <f>C3*1.3</f>
        <v>10.4</v>
      </c>
      <c r="E3" s="13">
        <f>D3-C3</f>
        <v>2.4000000000000004</v>
      </c>
      <c r="J3" s="14"/>
    </row>
    <row r="4" spans="1:10" x14ac:dyDescent="0.25">
      <c r="A4" s="15" t="s">
        <v>16</v>
      </c>
      <c r="B4" s="27">
        <v>2</v>
      </c>
      <c r="C4" s="12">
        <v>25</v>
      </c>
      <c r="D4" s="12">
        <f t="shared" ref="D4:D8" si="0">C4*1.3</f>
        <v>32.5</v>
      </c>
      <c r="E4" s="13">
        <f t="shared" ref="E4:E5" si="1">D4-C4</f>
        <v>7.5</v>
      </c>
      <c r="J4" s="14"/>
    </row>
    <row r="5" spans="1:10" x14ac:dyDescent="0.25">
      <c r="A5" s="15" t="s">
        <v>17</v>
      </c>
      <c r="B5" s="27">
        <v>3</v>
      </c>
      <c r="C5" s="12">
        <v>12</v>
      </c>
      <c r="D5" s="12">
        <f t="shared" si="0"/>
        <v>15.600000000000001</v>
      </c>
      <c r="E5" s="13">
        <f t="shared" si="1"/>
        <v>3.6000000000000014</v>
      </c>
      <c r="J5" s="14"/>
    </row>
    <row r="6" spans="1:10" x14ac:dyDescent="0.25">
      <c r="A6" s="16" t="s">
        <v>18</v>
      </c>
      <c r="B6" s="27">
        <v>4</v>
      </c>
      <c r="C6" s="12">
        <v>20</v>
      </c>
      <c r="D6" s="12">
        <f t="shared" si="0"/>
        <v>26</v>
      </c>
      <c r="E6" s="13">
        <v>0</v>
      </c>
      <c r="J6" s="14"/>
    </row>
    <row r="7" spans="1:10" x14ac:dyDescent="0.25">
      <c r="A7" s="15" t="s">
        <v>19</v>
      </c>
      <c r="B7" s="27">
        <v>5</v>
      </c>
      <c r="C7" s="12">
        <v>14</v>
      </c>
      <c r="D7" s="12">
        <f t="shared" si="0"/>
        <v>18.2</v>
      </c>
      <c r="E7" s="13">
        <f t="shared" ref="E7:E11" si="2">D7-C7</f>
        <v>4.1999999999999993</v>
      </c>
      <c r="J7" s="14"/>
    </row>
    <row r="8" spans="1:10" x14ac:dyDescent="0.25">
      <c r="A8" s="15" t="s">
        <v>20</v>
      </c>
      <c r="B8" s="27">
        <v>6</v>
      </c>
      <c r="C8" s="12">
        <v>30</v>
      </c>
      <c r="D8" s="12">
        <f t="shared" si="0"/>
        <v>39</v>
      </c>
      <c r="E8" s="13">
        <f t="shared" si="2"/>
        <v>9</v>
      </c>
      <c r="J8" s="14"/>
    </row>
    <row r="9" spans="1:10" x14ac:dyDescent="0.25">
      <c r="A9" s="15" t="s">
        <v>21</v>
      </c>
      <c r="B9" s="27">
        <v>7</v>
      </c>
      <c r="C9" s="12">
        <v>65</v>
      </c>
      <c r="D9" s="12">
        <v>80</v>
      </c>
      <c r="E9" s="13">
        <f t="shared" si="2"/>
        <v>15</v>
      </c>
      <c r="J9" s="14"/>
    </row>
    <row r="10" spans="1:10" x14ac:dyDescent="0.25">
      <c r="A10" s="15" t="s">
        <v>22</v>
      </c>
      <c r="B10" s="27">
        <v>8</v>
      </c>
      <c r="C10" s="12">
        <v>120</v>
      </c>
      <c r="D10" s="12">
        <v>150</v>
      </c>
      <c r="E10" s="13">
        <f t="shared" si="2"/>
        <v>30</v>
      </c>
      <c r="J10" s="14"/>
    </row>
    <row r="11" spans="1:10" x14ac:dyDescent="0.25">
      <c r="A11" s="15" t="s">
        <v>23</v>
      </c>
      <c r="B11" s="27">
        <v>9</v>
      </c>
      <c r="C11" s="12">
        <v>85</v>
      </c>
      <c r="D11" s="12">
        <v>200</v>
      </c>
      <c r="E11" s="13">
        <f t="shared" si="2"/>
        <v>115</v>
      </c>
      <c r="J11" s="14"/>
    </row>
    <row r="12" spans="1:10" x14ac:dyDescent="0.25">
      <c r="I12" s="17">
        <f>SUM(I3:I11)</f>
        <v>0</v>
      </c>
      <c r="J12" s="14"/>
    </row>
    <row r="13" spans="1:10" ht="15.75" thickBot="1" x14ac:dyDescent="0.3">
      <c r="J13" s="14"/>
    </row>
    <row r="14" spans="1:10" ht="15.75" thickBot="1" x14ac:dyDescent="0.3">
      <c r="A14" s="18" t="s">
        <v>24</v>
      </c>
      <c r="D14" s="18" t="s">
        <v>25</v>
      </c>
      <c r="J14" s="14"/>
    </row>
    <row r="15" spans="1:10" ht="15.75" thickBot="1" x14ac:dyDescent="0.3">
      <c r="A15" s="18" t="s">
        <v>26</v>
      </c>
      <c r="B15" s="18" t="s">
        <v>27</v>
      </c>
      <c r="D15" s="10" t="s">
        <v>28</v>
      </c>
      <c r="J15" s="14"/>
    </row>
    <row r="16" spans="1:10" x14ac:dyDescent="0.25">
      <c r="A16" s="19" t="s">
        <v>29</v>
      </c>
      <c r="B16" s="20">
        <v>50</v>
      </c>
      <c r="D16" s="19" t="s">
        <v>30</v>
      </c>
      <c r="E16" s="21">
        <v>18</v>
      </c>
      <c r="J16" s="14"/>
    </row>
    <row r="17" spans="1:5" ht="15.75" thickBot="1" x14ac:dyDescent="0.3">
      <c r="A17" s="22" t="s">
        <v>31</v>
      </c>
      <c r="B17" s="23">
        <v>75</v>
      </c>
      <c r="D17" s="24" t="s">
        <v>32</v>
      </c>
      <c r="E17" s="25"/>
    </row>
    <row r="18" spans="1:5" x14ac:dyDescent="0.25">
      <c r="A18" s="22" t="s">
        <v>33</v>
      </c>
      <c r="B18" s="23">
        <v>100</v>
      </c>
    </row>
    <row r="19" spans="1:5" ht="15.75" thickBot="1" x14ac:dyDescent="0.3">
      <c r="A19" s="24" t="s">
        <v>34</v>
      </c>
      <c r="B19" s="26">
        <v>150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"/>
  <dimension ref="A1:I29"/>
  <sheetViews>
    <sheetView showGridLines="0" topLeftCell="A2" workbookViewId="0">
      <selection activeCell="A6" sqref="A6"/>
    </sheetView>
  </sheetViews>
  <sheetFormatPr defaultColWidth="0" defaultRowHeight="15" x14ac:dyDescent="0.25"/>
  <cols>
    <col min="1" max="1" width="18.7109375" bestFit="1" customWidth="1"/>
    <col min="2" max="2" width="35.140625" customWidth="1"/>
    <col min="3" max="3" width="33.140625" customWidth="1"/>
    <col min="4" max="4" width="19.5703125" customWidth="1"/>
    <col min="5" max="5" width="9.5703125" bestFit="1" customWidth="1"/>
    <col min="6" max="6" width="10.140625" bestFit="1" customWidth="1"/>
    <col min="7" max="7" width="11.7109375" bestFit="1" customWidth="1"/>
    <col min="8" max="8" width="9.140625" customWidth="1"/>
    <col min="9" max="9" width="41.140625" customWidth="1"/>
    <col min="10" max="16384" width="9.140625" hidden="1"/>
  </cols>
  <sheetData>
    <row r="1" spans="1:9" ht="15.75" thickBot="1" x14ac:dyDescent="0.3">
      <c r="A1" s="5" t="s">
        <v>2</v>
      </c>
    </row>
    <row r="2" spans="1:9" ht="15.75" thickBot="1" x14ac:dyDescent="0.3">
      <c r="A2" s="5" t="s">
        <v>3</v>
      </c>
    </row>
    <row r="4" spans="1:9" ht="15.75" thickBot="1" x14ac:dyDescent="0.3">
      <c r="A4" t="s">
        <v>4</v>
      </c>
    </row>
    <row r="5" spans="1:9" x14ac:dyDescent="0.25">
      <c r="A5" s="31" t="s">
        <v>5</v>
      </c>
      <c r="B5" s="32" t="s">
        <v>6</v>
      </c>
      <c r="C5" s="32" t="s">
        <v>1</v>
      </c>
      <c r="D5" s="32" t="s">
        <v>7</v>
      </c>
      <c r="E5" s="32" t="s">
        <v>46</v>
      </c>
      <c r="F5" s="32" t="s">
        <v>8</v>
      </c>
      <c r="G5" s="33" t="s">
        <v>0</v>
      </c>
    </row>
    <row r="6" spans="1:9" x14ac:dyDescent="0.25">
      <c r="A6" s="4"/>
      <c r="B6" s="4"/>
      <c r="C6" s="4"/>
      <c r="D6" s="34"/>
      <c r="E6" s="30"/>
      <c r="F6" s="4"/>
      <c r="G6" s="35"/>
    </row>
    <row r="7" spans="1:9" x14ac:dyDescent="0.25">
      <c r="A7" s="4"/>
      <c r="B7" s="4"/>
      <c r="C7" s="4"/>
      <c r="D7" s="36"/>
      <c r="E7" s="30"/>
      <c r="F7" s="4"/>
      <c r="G7" s="35"/>
      <c r="I7" s="28"/>
    </row>
    <row r="8" spans="1:9" x14ac:dyDescent="0.25">
      <c r="A8" s="4"/>
      <c r="B8" s="4"/>
      <c r="C8" s="4"/>
      <c r="D8" s="36"/>
      <c r="E8" s="30"/>
      <c r="F8" s="4"/>
      <c r="G8" s="35"/>
    </row>
    <row r="9" spans="1:9" x14ac:dyDescent="0.25">
      <c r="A9" s="4"/>
      <c r="B9" s="4"/>
      <c r="C9" s="4"/>
      <c r="D9" s="36"/>
      <c r="E9" s="30"/>
      <c r="F9" s="4"/>
      <c r="G9" s="35"/>
    </row>
    <row r="10" spans="1:9" x14ac:dyDescent="0.25">
      <c r="A10" s="4"/>
      <c r="B10" s="4"/>
      <c r="C10" s="4"/>
      <c r="D10" s="36"/>
      <c r="E10" s="30"/>
      <c r="F10" s="4"/>
      <c r="G10" s="35"/>
    </row>
    <row r="11" spans="1:9" x14ac:dyDescent="0.25">
      <c r="A11" s="4"/>
      <c r="B11" s="4"/>
      <c r="C11" s="4"/>
      <c r="D11" s="36"/>
      <c r="E11" s="30"/>
      <c r="F11" s="4"/>
      <c r="G11" s="35"/>
    </row>
    <row r="12" spans="1:9" x14ac:dyDescent="0.25">
      <c r="A12" s="4"/>
      <c r="B12" s="4"/>
      <c r="C12" s="4"/>
      <c r="D12" s="36"/>
      <c r="E12" s="30"/>
      <c r="F12" s="4"/>
      <c r="G12" s="35"/>
    </row>
    <row r="13" spans="1:9" x14ac:dyDescent="0.25">
      <c r="A13" s="4"/>
      <c r="B13" s="4"/>
      <c r="C13" s="4"/>
      <c r="D13" s="36"/>
      <c r="E13" s="30"/>
      <c r="F13" s="4"/>
      <c r="G13" s="35"/>
    </row>
    <row r="14" spans="1:9" x14ac:dyDescent="0.25">
      <c r="A14" s="4"/>
      <c r="B14" s="4"/>
      <c r="C14" s="4"/>
      <c r="D14" s="36"/>
      <c r="E14" s="30"/>
      <c r="F14" s="4"/>
      <c r="G14" s="35"/>
    </row>
    <row r="15" spans="1:9" x14ac:dyDescent="0.25">
      <c r="A15" s="4"/>
      <c r="B15" s="4"/>
      <c r="C15" s="4"/>
      <c r="D15" s="36"/>
      <c r="E15" s="30"/>
      <c r="F15" s="4"/>
      <c r="G15" s="35"/>
    </row>
    <row r="16" spans="1:9" x14ac:dyDescent="0.25">
      <c r="D16" s="29"/>
      <c r="G16" s="37">
        <f>SUM(G6:G15)</f>
        <v>0</v>
      </c>
    </row>
    <row r="17" spans="1:4" x14ac:dyDescent="0.25">
      <c r="D17" s="29"/>
    </row>
    <row r="18" spans="1:4" x14ac:dyDescent="0.25">
      <c r="D18" s="29"/>
    </row>
    <row r="19" spans="1:4" ht="15.75" thickBot="1" x14ac:dyDescent="0.3"/>
    <row r="20" spans="1:4" x14ac:dyDescent="0.25">
      <c r="A20" s="33" t="s">
        <v>66</v>
      </c>
    </row>
    <row r="21" spans="1:4" x14ac:dyDescent="0.25">
      <c r="A21" s="4"/>
      <c r="B21" s="4"/>
    </row>
    <row r="22" spans="1:4" x14ac:dyDescent="0.25">
      <c r="A22" s="4"/>
      <c r="B22" s="4"/>
    </row>
    <row r="23" spans="1:4" x14ac:dyDescent="0.25">
      <c r="A23" s="4"/>
      <c r="B23" s="4"/>
    </row>
    <row r="24" spans="1:4" x14ac:dyDescent="0.25">
      <c r="B24" s="4">
        <f>B23+B22+B21</f>
        <v>0</v>
      </c>
    </row>
    <row r="26" spans="1:4" x14ac:dyDescent="0.25">
      <c r="A26" s="4" t="s">
        <v>66</v>
      </c>
      <c r="B26" s="4">
        <f>B24</f>
        <v>0</v>
      </c>
    </row>
    <row r="27" spans="1:4" x14ac:dyDescent="0.25">
      <c r="A27" s="4" t="s">
        <v>44</v>
      </c>
      <c r="B27" s="30">
        <f>18*MATERIAL!F12</f>
        <v>0</v>
      </c>
    </row>
    <row r="28" spans="1:4" x14ac:dyDescent="0.25">
      <c r="A28" s="4" t="s">
        <v>45</v>
      </c>
      <c r="B28" s="30">
        <f>G16</f>
        <v>0</v>
      </c>
    </row>
    <row r="29" spans="1:4" x14ac:dyDescent="0.25">
      <c r="B29" s="38">
        <f>SUM(B26:B28)</f>
        <v>0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7"/>
  <sheetViews>
    <sheetView workbookViewId="0">
      <selection activeCell="E6" sqref="E6"/>
    </sheetView>
  </sheetViews>
  <sheetFormatPr defaultRowHeight="15" x14ac:dyDescent="0.25"/>
  <cols>
    <col min="1" max="1" width="26.5703125" bestFit="1" customWidth="1"/>
    <col min="2" max="2" width="35.5703125" customWidth="1"/>
    <col min="3" max="3" width="40.7109375" customWidth="1"/>
    <col min="4" max="4" width="16.7109375" bestFit="1" customWidth="1"/>
    <col min="5" max="5" width="10.5703125" bestFit="1" customWidth="1"/>
    <col min="6" max="6" width="10.140625" bestFit="1" customWidth="1"/>
    <col min="7" max="7" width="11.7109375" bestFit="1" customWidth="1"/>
  </cols>
  <sheetData>
    <row r="1" spans="1:7" ht="21.75" thickBot="1" x14ac:dyDescent="0.4">
      <c r="A1" s="56" t="s">
        <v>2</v>
      </c>
    </row>
    <row r="2" spans="1:7" ht="21.75" thickBot="1" x14ac:dyDescent="0.4">
      <c r="A2" s="56" t="s">
        <v>3</v>
      </c>
    </row>
    <row r="3" spans="1:7" ht="21" x14ac:dyDescent="0.35">
      <c r="A3" s="57"/>
    </row>
    <row r="4" spans="1:7" ht="21.75" thickBot="1" x14ac:dyDescent="0.4">
      <c r="A4" s="57" t="s">
        <v>4</v>
      </c>
    </row>
    <row r="5" spans="1:7" x14ac:dyDescent="0.25">
      <c r="A5" s="31" t="s">
        <v>5</v>
      </c>
      <c r="B5" s="32" t="s">
        <v>6</v>
      </c>
      <c r="C5" s="32" t="s">
        <v>48</v>
      </c>
      <c r="D5" s="32" t="s">
        <v>49</v>
      </c>
      <c r="E5" s="32" t="s">
        <v>46</v>
      </c>
      <c r="F5" s="32" t="s">
        <v>47</v>
      </c>
      <c r="G5" s="33" t="s">
        <v>0</v>
      </c>
    </row>
    <row r="6" spans="1:7" ht="15" customHeight="1" x14ac:dyDescent="0.25">
      <c r="A6" s="4"/>
      <c r="B6" s="4"/>
      <c r="C6" s="36"/>
      <c r="D6" s="34"/>
      <c r="E6" s="30"/>
      <c r="F6" s="4"/>
      <c r="G6" s="35"/>
    </row>
    <row r="7" spans="1:7" ht="15" customHeight="1" x14ac:dyDescent="0.25">
      <c r="A7" s="4"/>
      <c r="B7" s="4"/>
      <c r="C7" s="36"/>
      <c r="D7" s="36"/>
      <c r="E7" s="30"/>
      <c r="F7" s="4"/>
      <c r="G7" s="35"/>
    </row>
    <row r="8" spans="1:7" x14ac:dyDescent="0.25">
      <c r="A8" s="4"/>
      <c r="B8" s="4"/>
      <c r="C8" s="36"/>
      <c r="D8" s="36"/>
      <c r="E8" s="30"/>
      <c r="F8" s="4"/>
      <c r="G8" s="35"/>
    </row>
    <row r="9" spans="1:7" x14ac:dyDescent="0.25">
      <c r="A9" s="4"/>
      <c r="B9" s="4"/>
      <c r="C9" s="36"/>
      <c r="D9" s="36"/>
      <c r="E9" s="30"/>
      <c r="F9" s="4"/>
      <c r="G9" s="35"/>
    </row>
    <row r="10" spans="1:7" x14ac:dyDescent="0.25">
      <c r="A10" s="4"/>
      <c r="B10" s="4"/>
      <c r="C10" s="36"/>
      <c r="D10" s="36"/>
      <c r="E10" s="30"/>
      <c r="F10" s="4"/>
      <c r="G10" s="35"/>
    </row>
    <row r="11" spans="1:7" x14ac:dyDescent="0.25">
      <c r="A11" s="4"/>
      <c r="B11" s="4"/>
      <c r="C11" s="36"/>
      <c r="D11" s="36"/>
      <c r="E11" s="30"/>
      <c r="F11" s="4"/>
      <c r="G11" s="35"/>
    </row>
    <row r="12" spans="1:7" x14ac:dyDescent="0.25">
      <c r="D12" s="29"/>
      <c r="F12" s="55">
        <f>SUM(F6:F11)*0.1</f>
        <v>0</v>
      </c>
      <c r="G12" s="37">
        <f>SUM(G6:G11)</f>
        <v>0</v>
      </c>
    </row>
    <row r="15" spans="1:7" x14ac:dyDescent="0.25">
      <c r="A15" s="54" t="s">
        <v>50</v>
      </c>
      <c r="B15" s="30">
        <f>G12</f>
        <v>0</v>
      </c>
    </row>
    <row r="16" spans="1:7" x14ac:dyDescent="0.25">
      <c r="A16" s="54" t="s">
        <v>69</v>
      </c>
      <c r="B16" s="30">
        <f>F12*19</f>
        <v>0</v>
      </c>
    </row>
    <row r="17" spans="1:2" x14ac:dyDescent="0.25">
      <c r="A17" s="54" t="s">
        <v>0</v>
      </c>
      <c r="B17" s="30">
        <f>SUM(B15:B16)</f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/>
  <dimension ref="A1:K20"/>
  <sheetViews>
    <sheetView workbookViewId="0">
      <selection activeCell="C22" sqref="C22"/>
    </sheetView>
  </sheetViews>
  <sheetFormatPr defaultRowHeight="15" x14ac:dyDescent="0.25"/>
  <cols>
    <col min="1" max="1" width="20.5703125" bestFit="1" customWidth="1"/>
    <col min="2" max="2" width="30.5703125" bestFit="1" customWidth="1"/>
    <col min="3" max="3" width="10.140625" bestFit="1" customWidth="1"/>
    <col min="4" max="4" width="14.5703125" bestFit="1" customWidth="1"/>
    <col min="5" max="5" width="13.5703125" bestFit="1" customWidth="1"/>
    <col min="7" max="7" width="36.42578125" bestFit="1" customWidth="1"/>
    <col min="8" max="9" width="10.140625" bestFit="1" customWidth="1"/>
    <col min="10" max="10" width="22.28515625" bestFit="1" customWidth="1"/>
  </cols>
  <sheetData>
    <row r="1" spans="1:11" ht="15.75" thickBot="1" x14ac:dyDescent="0.3">
      <c r="A1" s="6" t="s">
        <v>9</v>
      </c>
      <c r="B1" s="1"/>
      <c r="C1" s="1"/>
      <c r="D1" s="1"/>
    </row>
    <row r="2" spans="1:11" ht="15.75" thickBot="1" x14ac:dyDescent="0.3">
      <c r="A2" s="9" t="s">
        <v>10</v>
      </c>
      <c r="B2" s="10" t="s">
        <v>11</v>
      </c>
      <c r="C2" s="10" t="s">
        <v>12</v>
      </c>
      <c r="D2" s="10" t="s">
        <v>13</v>
      </c>
      <c r="E2" s="10" t="s">
        <v>14</v>
      </c>
      <c r="G2" s="6"/>
      <c r="H2" s="7"/>
      <c r="I2" s="8"/>
    </row>
    <row r="3" spans="1:11" x14ac:dyDescent="0.25">
      <c r="A3" s="2" t="s">
        <v>35</v>
      </c>
      <c r="B3" s="11" t="s">
        <v>15</v>
      </c>
      <c r="C3" s="12">
        <v>8</v>
      </c>
      <c r="D3" s="3"/>
      <c r="E3" s="4"/>
      <c r="G3" s="9"/>
      <c r="H3" s="10"/>
      <c r="I3" s="10"/>
      <c r="J3" s="10"/>
      <c r="K3" s="10"/>
    </row>
    <row r="4" spans="1:11" x14ac:dyDescent="0.25">
      <c r="A4" s="2" t="s">
        <v>36</v>
      </c>
      <c r="B4" s="15" t="s">
        <v>16</v>
      </c>
      <c r="C4" s="12">
        <v>25</v>
      </c>
      <c r="D4" s="3"/>
      <c r="E4" s="4"/>
      <c r="G4" s="11"/>
      <c r="H4" s="27"/>
      <c r="I4" s="12"/>
      <c r="J4" s="12"/>
      <c r="K4" s="13"/>
    </row>
    <row r="5" spans="1:11" x14ac:dyDescent="0.25">
      <c r="A5" s="2" t="s">
        <v>37</v>
      </c>
      <c r="B5" s="15" t="s">
        <v>17</v>
      </c>
      <c r="C5" s="12">
        <v>12</v>
      </c>
      <c r="D5" s="3"/>
      <c r="E5" s="4"/>
      <c r="G5" s="15"/>
      <c r="H5" s="27"/>
      <c r="I5" s="12"/>
      <c r="J5" s="12"/>
      <c r="K5" s="13"/>
    </row>
    <row r="6" spans="1:11" x14ac:dyDescent="0.25">
      <c r="A6" s="2" t="s">
        <v>38</v>
      </c>
      <c r="B6" s="16" t="s">
        <v>18</v>
      </c>
      <c r="C6" s="12">
        <v>20</v>
      </c>
      <c r="D6" s="3"/>
      <c r="E6" s="4"/>
      <c r="G6" s="15"/>
      <c r="H6" s="27"/>
      <c r="I6" s="12"/>
      <c r="J6" s="12"/>
      <c r="K6" s="13"/>
    </row>
    <row r="7" spans="1:11" x14ac:dyDescent="0.25">
      <c r="A7" s="2" t="s">
        <v>39</v>
      </c>
      <c r="B7" s="15" t="s">
        <v>19</v>
      </c>
      <c r="C7" s="12">
        <v>14</v>
      </c>
      <c r="D7" s="3"/>
      <c r="E7" s="4"/>
      <c r="G7" s="16"/>
      <c r="H7" s="27"/>
      <c r="I7" s="12"/>
      <c r="J7" s="12"/>
      <c r="K7" s="13"/>
    </row>
    <row r="8" spans="1:11" x14ac:dyDescent="0.25">
      <c r="A8" s="2" t="s">
        <v>40</v>
      </c>
      <c r="B8" s="15" t="s">
        <v>20</v>
      </c>
      <c r="C8" s="12">
        <v>30</v>
      </c>
      <c r="D8" s="3"/>
      <c r="E8" s="4"/>
      <c r="G8" s="15"/>
      <c r="H8" s="27"/>
      <c r="I8" s="12"/>
      <c r="J8" s="12"/>
      <c r="K8" s="13"/>
    </row>
    <row r="9" spans="1:11" x14ac:dyDescent="0.25">
      <c r="A9" s="2" t="s">
        <v>41</v>
      </c>
      <c r="B9" s="15" t="s">
        <v>21</v>
      </c>
      <c r="C9" s="12">
        <v>65</v>
      </c>
      <c r="D9" s="3"/>
      <c r="E9" s="4"/>
      <c r="G9" s="15"/>
      <c r="H9" s="27"/>
      <c r="I9" s="12"/>
      <c r="J9" s="12"/>
      <c r="K9" s="13"/>
    </row>
    <row r="10" spans="1:11" x14ac:dyDescent="0.25">
      <c r="A10" s="2" t="s">
        <v>42</v>
      </c>
      <c r="B10" s="15" t="s">
        <v>22</v>
      </c>
      <c r="C10" s="12">
        <v>120</v>
      </c>
      <c r="D10" s="3"/>
      <c r="E10" s="4"/>
      <c r="G10" s="15"/>
      <c r="H10" s="27"/>
      <c r="I10" s="12"/>
      <c r="J10" s="12"/>
      <c r="K10" s="13"/>
    </row>
    <row r="11" spans="1:11" x14ac:dyDescent="0.25">
      <c r="A11" s="2" t="s">
        <v>43</v>
      </c>
      <c r="B11" s="15" t="s">
        <v>23</v>
      </c>
      <c r="C11" s="12">
        <v>85</v>
      </c>
      <c r="D11" s="3"/>
      <c r="E11" s="4"/>
      <c r="G11" s="15"/>
      <c r="H11" s="27"/>
      <c r="I11" s="12"/>
      <c r="J11" s="12"/>
      <c r="K11" s="13"/>
    </row>
    <row r="12" spans="1:11" x14ac:dyDescent="0.25">
      <c r="G12" s="15"/>
      <c r="H12" s="27"/>
      <c r="I12" s="12"/>
      <c r="J12" s="12"/>
      <c r="K12" s="13"/>
    </row>
    <row r="14" spans="1:11" ht="15.75" thickBot="1" x14ac:dyDescent="0.3"/>
    <row r="15" spans="1:11" ht="15.75" thickBot="1" x14ac:dyDescent="0.3">
      <c r="A15" s="18" t="s">
        <v>24</v>
      </c>
      <c r="D15" s="18" t="s">
        <v>25</v>
      </c>
    </row>
    <row r="16" spans="1:11" ht="15.75" thickBot="1" x14ac:dyDescent="0.3">
      <c r="A16" s="18" t="s">
        <v>26</v>
      </c>
      <c r="B16" s="18" t="s">
        <v>27</v>
      </c>
      <c r="D16" s="10" t="s">
        <v>28</v>
      </c>
    </row>
    <row r="17" spans="1:5" x14ac:dyDescent="0.25">
      <c r="A17" s="19" t="s">
        <v>29</v>
      </c>
      <c r="B17" s="20">
        <v>50</v>
      </c>
      <c r="D17" s="19" t="s">
        <v>30</v>
      </c>
      <c r="E17" s="21">
        <v>18</v>
      </c>
    </row>
    <row r="18" spans="1:5" ht="15.75" thickBot="1" x14ac:dyDescent="0.3">
      <c r="A18" s="22" t="s">
        <v>31</v>
      </c>
      <c r="B18" s="23">
        <v>75</v>
      </c>
      <c r="D18" s="24" t="s">
        <v>32</v>
      </c>
      <c r="E18" s="25"/>
    </row>
    <row r="19" spans="1:5" x14ac:dyDescent="0.25">
      <c r="A19" s="22" t="s">
        <v>33</v>
      </c>
      <c r="B19" s="23">
        <v>100</v>
      </c>
    </row>
    <row r="20" spans="1:5" ht="15.75" thickBot="1" x14ac:dyDescent="0.3">
      <c r="A20" s="24" t="s">
        <v>34</v>
      </c>
      <c r="B20" s="26">
        <v>150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28"/>
  <sheetViews>
    <sheetView tabSelected="1" topLeftCell="A10" workbookViewId="0">
      <selection activeCell="C28" sqref="C28"/>
    </sheetView>
  </sheetViews>
  <sheetFormatPr defaultRowHeight="15" x14ac:dyDescent="0.25"/>
  <cols>
    <col min="2" max="2" width="34" bestFit="1" customWidth="1"/>
    <col min="3" max="3" width="19.28515625" customWidth="1"/>
  </cols>
  <sheetData>
    <row r="1" spans="1:3" x14ac:dyDescent="0.25">
      <c r="A1" s="41" t="s">
        <v>51</v>
      </c>
      <c r="B1" s="1"/>
      <c r="C1" s="1"/>
    </row>
    <row r="2" spans="1:3" x14ac:dyDescent="0.25">
      <c r="A2" s="2" t="s">
        <v>52</v>
      </c>
      <c r="B2" s="2" t="s">
        <v>53</v>
      </c>
      <c r="C2" s="2" t="s">
        <v>54</v>
      </c>
    </row>
    <row r="3" spans="1:3" ht="15.75" x14ac:dyDescent="0.25">
      <c r="A3" s="2">
        <v>1</v>
      </c>
      <c r="B3" s="60" t="s">
        <v>77</v>
      </c>
      <c r="C3" s="3">
        <v>60</v>
      </c>
    </row>
    <row r="4" spans="1:3" ht="15.75" x14ac:dyDescent="0.25">
      <c r="A4" s="2">
        <v>2</v>
      </c>
      <c r="B4" s="60" t="s">
        <v>55</v>
      </c>
      <c r="C4" s="3">
        <v>170</v>
      </c>
    </row>
    <row r="5" spans="1:3" ht="15.75" x14ac:dyDescent="0.25">
      <c r="A5" s="2">
        <v>3</v>
      </c>
      <c r="B5" s="61" t="s">
        <v>64</v>
      </c>
      <c r="C5" s="3">
        <v>500</v>
      </c>
    </row>
    <row r="6" spans="1:3" ht="15.75" x14ac:dyDescent="0.25">
      <c r="A6" s="2">
        <v>4</v>
      </c>
      <c r="B6" s="60" t="s">
        <v>79</v>
      </c>
      <c r="C6" s="3">
        <v>450</v>
      </c>
    </row>
    <row r="7" spans="1:3" ht="15.75" x14ac:dyDescent="0.25">
      <c r="A7" s="2">
        <v>5</v>
      </c>
      <c r="B7" s="60" t="s">
        <v>56</v>
      </c>
      <c r="C7" s="3">
        <v>335</v>
      </c>
    </row>
    <row r="8" spans="1:3" ht="15.75" x14ac:dyDescent="0.25">
      <c r="A8" s="2">
        <v>6</v>
      </c>
      <c r="B8" s="60" t="s">
        <v>80</v>
      </c>
      <c r="C8" s="3">
        <v>635</v>
      </c>
    </row>
    <row r="9" spans="1:3" ht="15.75" x14ac:dyDescent="0.25">
      <c r="A9" s="2">
        <v>7</v>
      </c>
      <c r="B9" s="62" t="s">
        <v>81</v>
      </c>
      <c r="C9" s="58">
        <v>115</v>
      </c>
    </row>
    <row r="10" spans="1:3" ht="15.75" x14ac:dyDescent="0.25">
      <c r="A10" s="2">
        <v>8</v>
      </c>
      <c r="B10" s="60" t="s">
        <v>78</v>
      </c>
      <c r="C10" s="59">
        <v>250</v>
      </c>
    </row>
    <row r="11" spans="1:3" ht="15.75" x14ac:dyDescent="0.25">
      <c r="A11" s="2">
        <v>9</v>
      </c>
      <c r="B11" s="63" t="s">
        <v>82</v>
      </c>
      <c r="C11" s="58">
        <v>185</v>
      </c>
    </row>
    <row r="12" spans="1:3" ht="15.75" x14ac:dyDescent="0.25">
      <c r="A12" s="2">
        <v>10</v>
      </c>
      <c r="B12" s="62" t="s">
        <v>83</v>
      </c>
      <c r="C12" s="58">
        <v>172</v>
      </c>
    </row>
    <row r="13" spans="1:3" ht="15.75" x14ac:dyDescent="0.25">
      <c r="A13" s="2">
        <v>11</v>
      </c>
      <c r="B13" s="60" t="s">
        <v>87</v>
      </c>
      <c r="C13" s="3">
        <v>680</v>
      </c>
    </row>
    <row r="14" spans="1:3" ht="15.75" x14ac:dyDescent="0.25">
      <c r="A14" s="2">
        <v>12</v>
      </c>
      <c r="B14" s="60" t="s">
        <v>88</v>
      </c>
      <c r="C14" s="3">
        <v>715</v>
      </c>
    </row>
    <row r="15" spans="1:3" ht="15.75" x14ac:dyDescent="0.25">
      <c r="A15" s="2">
        <v>13</v>
      </c>
      <c r="B15" s="60" t="s">
        <v>89</v>
      </c>
      <c r="C15" s="3">
        <v>715</v>
      </c>
    </row>
    <row r="16" spans="1:3" ht="15.75" x14ac:dyDescent="0.25">
      <c r="A16" s="2">
        <v>14</v>
      </c>
      <c r="B16" s="60" t="s">
        <v>90</v>
      </c>
      <c r="C16" s="3">
        <v>600</v>
      </c>
    </row>
    <row r="17" spans="1:3" ht="15.75" x14ac:dyDescent="0.25">
      <c r="A17" s="2">
        <v>15</v>
      </c>
      <c r="B17" s="60" t="s">
        <v>91</v>
      </c>
      <c r="C17" s="3">
        <v>495</v>
      </c>
    </row>
    <row r="18" spans="1:3" ht="15.75" x14ac:dyDescent="0.25">
      <c r="A18" s="2">
        <v>16</v>
      </c>
      <c r="B18" s="60" t="s">
        <v>85</v>
      </c>
      <c r="C18" s="3">
        <v>90</v>
      </c>
    </row>
    <row r="19" spans="1:3" ht="15.75" x14ac:dyDescent="0.25">
      <c r="A19" s="2">
        <v>17</v>
      </c>
      <c r="B19" s="62" t="s">
        <v>86</v>
      </c>
      <c r="C19" s="58">
        <v>480</v>
      </c>
    </row>
    <row r="20" spans="1:3" ht="15.75" x14ac:dyDescent="0.25">
      <c r="A20" s="2">
        <v>18</v>
      </c>
      <c r="B20" s="61" t="s">
        <v>63</v>
      </c>
      <c r="C20" s="3">
        <v>600</v>
      </c>
    </row>
    <row r="21" spans="1:3" ht="15.75" x14ac:dyDescent="0.25">
      <c r="A21" s="2">
        <v>19</v>
      </c>
      <c r="B21" s="60" t="s">
        <v>57</v>
      </c>
      <c r="C21" s="3">
        <v>250</v>
      </c>
    </row>
    <row r="22" spans="1:3" ht="15.75" x14ac:dyDescent="0.25">
      <c r="A22" s="2">
        <v>20</v>
      </c>
      <c r="B22" s="60" t="s">
        <v>58</v>
      </c>
      <c r="C22" s="3">
        <v>240</v>
      </c>
    </row>
    <row r="23" spans="1:3" ht="15.75" x14ac:dyDescent="0.25">
      <c r="A23" s="2">
        <v>21</v>
      </c>
      <c r="B23" s="60" t="s">
        <v>76</v>
      </c>
      <c r="C23" s="3">
        <v>50</v>
      </c>
    </row>
    <row r="24" spans="1:3" ht="15.75" x14ac:dyDescent="0.25">
      <c r="A24" s="2">
        <v>22</v>
      </c>
      <c r="B24" s="60" t="s">
        <v>59</v>
      </c>
      <c r="C24" s="3">
        <v>130</v>
      </c>
    </row>
    <row r="25" spans="1:3" ht="15.75" x14ac:dyDescent="0.25">
      <c r="A25" s="2">
        <v>23</v>
      </c>
      <c r="B25" s="60" t="s">
        <v>84</v>
      </c>
      <c r="C25" s="3">
        <v>480</v>
      </c>
    </row>
    <row r="26" spans="1:3" ht="15.75" x14ac:dyDescent="0.25">
      <c r="A26" s="2">
        <v>24</v>
      </c>
      <c r="B26" s="60" t="s">
        <v>60</v>
      </c>
      <c r="C26" s="3">
        <v>130</v>
      </c>
    </row>
    <row r="27" spans="1:3" ht="15.75" x14ac:dyDescent="0.25">
      <c r="A27" s="2">
        <v>25</v>
      </c>
      <c r="B27" s="60" t="s">
        <v>61</v>
      </c>
      <c r="C27" s="58">
        <v>220</v>
      </c>
    </row>
    <row r="28" spans="1:3" ht="15.75" x14ac:dyDescent="0.25">
      <c r="A28" s="2">
        <v>26</v>
      </c>
      <c r="B28" s="62" t="s">
        <v>62</v>
      </c>
      <c r="C28" s="3">
        <v>80</v>
      </c>
    </row>
  </sheetData>
  <sortState ref="B3:C28">
    <sortCondition ref="B3"/>
  </sortState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TOTAL</vt:lpstr>
      <vt:lpstr>CUSTOS</vt:lpstr>
      <vt:lpstr>SANDRO</vt:lpstr>
      <vt:lpstr>MATERIAL</vt:lpstr>
      <vt:lpstr>BANCO DE DADOS SANDRO</vt:lpstr>
      <vt:lpstr>BANCO DE DADOS MATERIAL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andreia limoli</dc:creator>
  <cp:lastModifiedBy>Carlos Isaque silva</cp:lastModifiedBy>
  <dcterms:created xsi:type="dcterms:W3CDTF">2021-03-30T11:58:17Z</dcterms:created>
  <dcterms:modified xsi:type="dcterms:W3CDTF">2022-01-31T00:24:15Z</dcterms:modified>
</cp:coreProperties>
</file>