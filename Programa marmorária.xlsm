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51196F13-6AD0-C1B8-E2B4-A1F9AE17003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otha\OneDrive\Área de Trabalho\"/>
    </mc:Choice>
  </mc:AlternateContent>
  <xr:revisionPtr revIDLastSave="0" documentId="13_ncr:1_{AA204EDB-8054-4CB5-8CD1-87D1E81FB955}" xr6:coauthVersionLast="47" xr6:coauthVersionMax="47" xr10:uidLastSave="{00000000-0000-0000-0000-000000000000}"/>
  <bookViews>
    <workbookView xWindow="-120" yWindow="-120" windowWidth="21840" windowHeight="13140" tabRatio="846" xr2:uid="{00000000-000D-0000-FFFF-FFFF00000000}"/>
  </bookViews>
  <sheets>
    <sheet name="ORÇAMENTO" sheetId="34" r:id="rId1"/>
    <sheet name="CUSTOS" sheetId="23" state="hidden" r:id="rId2"/>
    <sheet name="MENU" sheetId="21" r:id="rId3"/>
    <sheet name="GRAFICOS" sheetId="14" r:id="rId4"/>
    <sheet name="ORÇAMENTO MODELO" sheetId="13" r:id="rId5"/>
    <sheet name="CADASTRO" sheetId="10" r:id="rId6"/>
    <sheet name="RECIBOS" sheetId="12" r:id="rId7"/>
    <sheet name="CAIXA" sheetId="11" r:id="rId8"/>
    <sheet name="FLUXO" sheetId="24" state="hidden" r:id="rId9"/>
    <sheet name="Gasto com materiais" sheetId="31" state="hidden" r:id="rId10"/>
    <sheet name="Notas gastos" sheetId="32" state="hidden" r:id="rId11"/>
    <sheet name="Cadastro de senhas" sheetId="1" r:id="rId12"/>
  </sheets>
  <definedNames>
    <definedName name="_xlnm.Print_Area" localSheetId="8">FLUXO!$A$2:$J$39</definedName>
    <definedName name="_xlnm.Print_Area" localSheetId="0">ORÇAMENTO!$A$1:$G$56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1" l="1"/>
  <c r="I6" i="11"/>
  <c r="I7" i="11"/>
  <c r="I9" i="11"/>
  <c r="I10" i="11"/>
  <c r="J10" i="11" s="1"/>
  <c r="I11" i="11"/>
  <c r="I12" i="11"/>
  <c r="I13" i="11"/>
  <c r="J13" i="11" s="1"/>
  <c r="I14" i="11"/>
  <c r="K14" i="11" s="1"/>
  <c r="I15" i="11"/>
  <c r="J15" i="11" s="1"/>
  <c r="I16" i="11"/>
  <c r="K16" i="11" s="1"/>
  <c r="I17" i="11"/>
  <c r="I18" i="11"/>
  <c r="I19" i="11"/>
  <c r="I20" i="11"/>
  <c r="I21" i="11"/>
  <c r="I22" i="11"/>
  <c r="I23" i="11"/>
  <c r="I24" i="11"/>
  <c r="I25" i="11"/>
  <c r="J25" i="11" s="1"/>
  <c r="I26" i="11"/>
  <c r="J26" i="11" s="1"/>
  <c r="I27" i="11"/>
  <c r="J27" i="11" s="1"/>
  <c r="I28" i="11"/>
  <c r="K28" i="11" s="1"/>
  <c r="I29" i="11"/>
  <c r="I30" i="11"/>
  <c r="I31" i="11"/>
  <c r="I32" i="11"/>
  <c r="I33" i="11"/>
  <c r="H8" i="11"/>
  <c r="H9" i="11"/>
  <c r="H10" i="11"/>
  <c r="H11" i="11"/>
  <c r="H12" i="11"/>
  <c r="H13" i="11"/>
  <c r="H14" i="11"/>
  <c r="H15" i="11"/>
  <c r="H16" i="11"/>
  <c r="H5" i="11"/>
  <c r="H6" i="11"/>
  <c r="K18" i="11"/>
  <c r="J5" i="11"/>
  <c r="J6" i="11"/>
  <c r="H7" i="11"/>
  <c r="J7" i="11"/>
  <c r="K7" i="11"/>
  <c r="J9" i="11"/>
  <c r="K9" i="11"/>
  <c r="J11" i="11"/>
  <c r="J12" i="11"/>
  <c r="K12" i="11"/>
  <c r="K15" i="11"/>
  <c r="H17" i="11"/>
  <c r="J17" i="11"/>
  <c r="K17" i="11"/>
  <c r="H18" i="11"/>
  <c r="J18" i="11"/>
  <c r="H19" i="11"/>
  <c r="J19" i="11"/>
  <c r="K19" i="11"/>
  <c r="H20" i="11"/>
  <c r="J20" i="11"/>
  <c r="K20" i="11"/>
  <c r="H21" i="11"/>
  <c r="J21" i="11"/>
  <c r="K21" i="11"/>
  <c r="H22" i="11"/>
  <c r="J22" i="11"/>
  <c r="K22" i="11"/>
  <c r="H23" i="11"/>
  <c r="J23" i="11"/>
  <c r="H24" i="11"/>
  <c r="J24" i="11"/>
  <c r="K24" i="11"/>
  <c r="H25" i="11"/>
  <c r="H26" i="11"/>
  <c r="H27" i="11"/>
  <c r="H28" i="11"/>
  <c r="H29" i="11"/>
  <c r="J29" i="11"/>
  <c r="K29" i="11"/>
  <c r="H30" i="11"/>
  <c r="J30" i="11"/>
  <c r="K30" i="11"/>
  <c r="H31" i="11"/>
  <c r="J31" i="11"/>
  <c r="K31" i="11"/>
  <c r="H32" i="11"/>
  <c r="J32" i="11"/>
  <c r="H33" i="11"/>
  <c r="J33" i="11"/>
  <c r="K33" i="11"/>
  <c r="H34" i="11"/>
  <c r="I34" i="11"/>
  <c r="J34" i="11"/>
  <c r="K34" i="11"/>
  <c r="H35" i="11"/>
  <c r="I35" i="11"/>
  <c r="J35" i="11" s="1"/>
  <c r="H36" i="11"/>
  <c r="I36" i="11"/>
  <c r="J36" i="11"/>
  <c r="K36" i="11"/>
  <c r="H37" i="11"/>
  <c r="I37" i="11"/>
  <c r="J37" i="11"/>
  <c r="K37" i="11"/>
  <c r="H38" i="11"/>
  <c r="I38" i="11"/>
  <c r="J38" i="11" s="1"/>
  <c r="H39" i="11"/>
  <c r="I39" i="11"/>
  <c r="J39" i="11"/>
  <c r="K39" i="11"/>
  <c r="H40" i="11"/>
  <c r="I40" i="11"/>
  <c r="J40" i="11"/>
  <c r="K40" i="11"/>
  <c r="H41" i="11"/>
  <c r="I41" i="11"/>
  <c r="J41" i="11" s="1"/>
  <c r="H42" i="11"/>
  <c r="I42" i="11"/>
  <c r="J42" i="11" s="1"/>
  <c r="K42" i="11"/>
  <c r="H43" i="11"/>
  <c r="I43" i="11"/>
  <c r="J43" i="11"/>
  <c r="K43" i="11"/>
  <c r="H44" i="11"/>
  <c r="I44" i="11"/>
  <c r="J44" i="11" s="1"/>
  <c r="H45" i="11"/>
  <c r="I45" i="11"/>
  <c r="J45" i="11" s="1"/>
  <c r="K45" i="11"/>
  <c r="H46" i="11"/>
  <c r="I46" i="11"/>
  <c r="J46" i="11"/>
  <c r="K46" i="11"/>
  <c r="H47" i="11"/>
  <c r="I47" i="11"/>
  <c r="J47" i="11" s="1"/>
  <c r="H48" i="11"/>
  <c r="I48" i="11"/>
  <c r="J48" i="11" s="1"/>
  <c r="H49" i="11"/>
  <c r="I49" i="11"/>
  <c r="J49" i="11" s="1"/>
  <c r="H50" i="11"/>
  <c r="I50" i="11"/>
  <c r="J50" i="11" s="1"/>
  <c r="H51" i="11"/>
  <c r="I51" i="11"/>
  <c r="J51" i="11" s="1"/>
  <c r="K51" i="11"/>
  <c r="H52" i="11"/>
  <c r="I52" i="11"/>
  <c r="K52" i="11" s="1"/>
  <c r="J52" i="11"/>
  <c r="H53" i="11"/>
  <c r="I53" i="11"/>
  <c r="J53" i="11" s="1"/>
  <c r="H54" i="11"/>
  <c r="I54" i="11"/>
  <c r="J54" i="11"/>
  <c r="K54" i="11"/>
  <c r="H55" i="11"/>
  <c r="I55" i="11"/>
  <c r="K55" i="11" s="1"/>
  <c r="J55" i="11"/>
  <c r="H56" i="11"/>
  <c r="I56" i="11"/>
  <c r="J56" i="11" s="1"/>
  <c r="H57" i="11"/>
  <c r="I57" i="11"/>
  <c r="J57" i="11" s="1"/>
  <c r="K57" i="11"/>
  <c r="H58" i="11"/>
  <c r="I58" i="11"/>
  <c r="J58" i="11"/>
  <c r="K58" i="11"/>
  <c r="H59" i="11"/>
  <c r="I59" i="11"/>
  <c r="J59" i="11"/>
  <c r="K59" i="11"/>
  <c r="H60" i="11"/>
  <c r="I60" i="11"/>
  <c r="J60" i="11"/>
  <c r="K60" i="11"/>
  <c r="H61" i="11"/>
  <c r="I61" i="11"/>
  <c r="J61" i="11"/>
  <c r="K61" i="11"/>
  <c r="H62" i="11"/>
  <c r="I62" i="11"/>
  <c r="J62" i="11"/>
  <c r="K62" i="11"/>
  <c r="H63" i="11"/>
  <c r="I63" i="11"/>
  <c r="J63" i="11"/>
  <c r="K63" i="11"/>
  <c r="H64" i="11"/>
  <c r="I64" i="11"/>
  <c r="J64" i="11"/>
  <c r="K64" i="11"/>
  <c r="H65" i="11"/>
  <c r="I65" i="11"/>
  <c r="J65" i="11"/>
  <c r="K65" i="11"/>
  <c r="H66" i="11"/>
  <c r="I66" i="11"/>
  <c r="J66" i="11"/>
  <c r="K66" i="11"/>
  <c r="H67" i="11"/>
  <c r="I67" i="11"/>
  <c r="J67" i="11"/>
  <c r="K67" i="11"/>
  <c r="H68" i="11"/>
  <c r="I68" i="11"/>
  <c r="J68" i="11"/>
  <c r="K68" i="11"/>
  <c r="H69" i="11"/>
  <c r="I69" i="11"/>
  <c r="J69" i="11"/>
  <c r="K69" i="11"/>
  <c r="H70" i="11"/>
  <c r="I70" i="11"/>
  <c r="J70" i="11"/>
  <c r="K70" i="11"/>
  <c r="H71" i="11"/>
  <c r="I71" i="11"/>
  <c r="J71" i="11"/>
  <c r="K71" i="11"/>
  <c r="H72" i="11"/>
  <c r="I72" i="11"/>
  <c r="J72" i="11"/>
  <c r="K72" i="11"/>
  <c r="H73" i="11"/>
  <c r="I73" i="11"/>
  <c r="J73" i="11"/>
  <c r="K73" i="11"/>
  <c r="H74" i="11"/>
  <c r="I74" i="11"/>
  <c r="J74" i="11"/>
  <c r="K74" i="11"/>
  <c r="H75" i="11"/>
  <c r="I75" i="11"/>
  <c r="J75" i="11"/>
  <c r="K75" i="11"/>
  <c r="H76" i="11"/>
  <c r="I76" i="11"/>
  <c r="J76" i="11"/>
  <c r="K76" i="11"/>
  <c r="H77" i="11"/>
  <c r="I77" i="11"/>
  <c r="J77" i="11"/>
  <c r="K77" i="11"/>
  <c r="I78" i="11"/>
  <c r="J78" i="11" s="1"/>
  <c r="I79" i="11"/>
  <c r="J79" i="11" s="1"/>
  <c r="J16" i="11" l="1"/>
  <c r="J14" i="11"/>
  <c r="J28" i="11"/>
  <c r="K27" i="11"/>
  <c r="K13" i="11"/>
  <c r="K26" i="11"/>
  <c r="K25" i="11"/>
  <c r="K10" i="11"/>
  <c r="K49" i="11"/>
  <c r="K78" i="11"/>
  <c r="K48" i="11"/>
  <c r="J8" i="11"/>
  <c r="K50" i="11"/>
  <c r="K44" i="11"/>
  <c r="K41" i="11"/>
  <c r="K35" i="11"/>
  <c r="K32" i="11"/>
  <c r="L23" i="11" s="1"/>
  <c r="K23" i="11"/>
  <c r="E75" i="14" s="1"/>
  <c r="K56" i="11"/>
  <c r="K53" i="11"/>
  <c r="K47" i="11"/>
  <c r="K38" i="11"/>
  <c r="K6" i="11"/>
  <c r="K5" i="11"/>
  <c r="K11" i="11"/>
  <c r="K79" i="11"/>
  <c r="E2" i="12" l="1"/>
  <c r="L5" i="32" l="1"/>
  <c r="O10" i="32" l="1"/>
  <c r="O7" i="32"/>
  <c r="O6" i="32"/>
  <c r="O9" i="32"/>
  <c r="O8" i="32"/>
  <c r="K42" i="32" l="1"/>
  <c r="F21" i="34" l="1"/>
  <c r="F20" i="34" l="1"/>
  <c r="F23" i="34" s="1"/>
  <c r="F37" i="34" s="1"/>
  <c r="F21" i="14" l="1"/>
  <c r="I80" i="11" l="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O5" i="32" l="1"/>
  <c r="L4" i="32" l="1"/>
  <c r="L6" i="32" s="1"/>
  <c r="G83" i="14" l="1"/>
  <c r="G82" i="14"/>
  <c r="G81" i="14"/>
  <c r="G80" i="14"/>
  <c r="G79" i="14"/>
  <c r="G78" i="14"/>
  <c r="G77" i="14"/>
  <c r="G76" i="14"/>
  <c r="G75" i="14"/>
  <c r="G74" i="14"/>
  <c r="G73" i="14"/>
  <c r="G72" i="14"/>
  <c r="H2" i="24" l="1"/>
  <c r="E2" i="24"/>
  <c r="C131" i="14" l="1"/>
  <c r="F2" i="24" l="1"/>
  <c r="D2" i="24"/>
  <c r="F140" i="14"/>
  <c r="C140" i="14" s="1"/>
  <c r="G2" i="24" l="1"/>
  <c r="E83" i="14"/>
  <c r="F83" i="14" s="1"/>
  <c r="E82" i="14"/>
  <c r="F82" i="14" s="1"/>
  <c r="G21" i="14" l="1"/>
  <c r="G20" i="14"/>
  <c r="G26" i="14"/>
  <c r="G25" i="14"/>
  <c r="G24" i="14"/>
  <c r="G23" i="14"/>
  <c r="G22" i="14"/>
  <c r="G19" i="14"/>
  <c r="G18" i="14"/>
  <c r="G17" i="14"/>
  <c r="G16" i="14"/>
  <c r="G15" i="14"/>
  <c r="J3" i="11" l="1"/>
  <c r="G3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E81" i="14" l="1"/>
  <c r="F81" i="14" s="1"/>
  <c r="E80" i="14"/>
  <c r="F80" i="14" s="1"/>
  <c r="E79" i="14"/>
  <c r="F79" i="14" s="1"/>
  <c r="E78" i="14"/>
  <c r="F78" i="14" s="1"/>
  <c r="E76" i="14"/>
  <c r="E77" i="14"/>
  <c r="F77" i="14" s="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F26" i="14" l="1"/>
  <c r="F25" i="14"/>
  <c r="F24" i="14"/>
  <c r="F23" i="14"/>
  <c r="F22" i="14"/>
  <c r="F20" i="14"/>
  <c r="F19" i="14"/>
  <c r="F18" i="14"/>
  <c r="F17" i="14"/>
  <c r="F16" i="14"/>
  <c r="F15" i="14"/>
  <c r="C150" i="14" l="1"/>
  <c r="E154" i="14" s="1"/>
  <c r="F12" i="14"/>
  <c r="F76" i="14" l="1"/>
  <c r="E2" i="11" l="1"/>
  <c r="E73" i="14" l="1"/>
  <c r="F73" i="14" s="1"/>
  <c r="E72" i="14"/>
  <c r="E74" i="14"/>
  <c r="F72" i="14" l="1"/>
  <c r="J6" i="23"/>
  <c r="J7" i="23"/>
  <c r="J8" i="23"/>
  <c r="J9" i="23"/>
  <c r="J10" i="23"/>
  <c r="J11" i="23"/>
  <c r="J12" i="23"/>
  <c r="J13" i="23"/>
  <c r="J5" i="23"/>
  <c r="J14" i="23" l="1"/>
  <c r="I2" i="11" l="1"/>
  <c r="G2" i="12" s="1"/>
  <c r="E1" i="21" l="1"/>
  <c r="I3" i="11" l="1"/>
  <c r="K2" i="11" l="1"/>
  <c r="F75" i="14" l="1"/>
  <c r="K3" i="11"/>
  <c r="F74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andreia limoli</author>
  </authors>
  <commentList>
    <comment ref="I2" authorId="0" shapeId="0" xr:uid="{00000000-0006-0000-0700-000001000000}">
      <text>
        <r>
          <rPr>
            <b/>
            <sz val="24"/>
            <color indexed="81"/>
            <rFont val="Segoe UI"/>
            <family val="2"/>
          </rPr>
          <t xml:space="preserve">FATURAMENTO
</t>
        </r>
      </text>
    </comment>
    <comment ref="K2" authorId="0" shapeId="0" xr:uid="{00000000-0006-0000-0700-000002000000}">
      <text>
        <r>
          <rPr>
            <b/>
            <sz val="26"/>
            <color indexed="81"/>
            <rFont val="Segoe UI"/>
            <family val="2"/>
          </rPr>
          <t>SOMA DOS LUCRO</t>
        </r>
      </text>
    </comment>
    <comment ref="J3" authorId="0" shapeId="0" xr:uid="{00000000-0006-0000-0700-000003000000}">
      <text>
        <r>
          <rPr>
            <b/>
            <sz val="22"/>
            <color indexed="81"/>
            <rFont val="Segoe UI"/>
            <family val="2"/>
          </rPr>
          <t>SOMA DOS CUSTOS</t>
        </r>
      </text>
    </comment>
    <comment ref="K3" authorId="0" shapeId="0" xr:uid="{00000000-0006-0000-0700-000004000000}">
      <text>
        <r>
          <rPr>
            <b/>
            <sz val="26"/>
            <color indexed="81"/>
            <rFont val="Segoe UI"/>
            <family val="2"/>
          </rPr>
          <t>FATURAMENTO TOTAL DIVIDIDO POR CUSTO TOTAL ( FATOR DE RETORNO)</t>
        </r>
      </text>
    </comment>
    <comment ref="E8" authorId="0" shapeId="0" xr:uid="{00000000-0006-0000-0700-000005000000}">
      <text>
        <r>
          <rPr>
            <b/>
            <sz val="20"/>
            <color indexed="81"/>
            <rFont val="Segoe UI"/>
            <family val="2"/>
          </rPr>
          <t>Carlos Isaque
Orçamentos com esses valores exatos não encontrados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I8" authorId="0" shapeId="0" xr:uid="{00000000-0006-0000-0700-000006000000}">
      <text>
        <r>
          <rPr>
            <b/>
            <sz val="20"/>
            <color indexed="81"/>
            <rFont val="Segoe UI"/>
            <family val="2"/>
          </rPr>
          <t xml:space="preserve">Carlos Isaque: 
orçamento não encontrado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andreia limoli</author>
  </authors>
  <commentList>
    <comment ref="D2" authorId="0" shapeId="0" xr:uid="{00000000-0006-0000-0800-000001000000}">
      <text>
        <r>
          <rPr>
            <b/>
            <sz val="36"/>
            <color indexed="81"/>
            <rFont val="Segoe UI"/>
            <family val="2"/>
          </rPr>
          <t>SOMA MATERIAIS</t>
        </r>
      </text>
    </comment>
    <comment ref="E2" authorId="0" shapeId="0" xr:uid="{00000000-0006-0000-0800-000002000000}">
      <text>
        <r>
          <rPr>
            <b/>
            <sz val="36"/>
            <color indexed="81"/>
            <rFont val="Segoe UI"/>
            <family val="2"/>
          </rPr>
          <t>Soma mão de obra Sandro</t>
        </r>
      </text>
    </comment>
    <comment ref="F2" authorId="0" shapeId="0" xr:uid="{00000000-0006-0000-0800-000003000000}">
      <text>
        <r>
          <rPr>
            <b/>
            <sz val="36"/>
            <color indexed="81"/>
            <rFont val="Segoe UI"/>
            <family val="2"/>
          </rPr>
          <t>TOTAL DE MATERIAIS PAGOS</t>
        </r>
      </text>
    </comment>
  </commentList>
</comments>
</file>

<file path=xl/sharedStrings.xml><?xml version="1.0" encoding="utf-8"?>
<sst xmlns="http://schemas.openxmlformats.org/spreadsheetml/2006/main" count="246" uniqueCount="167">
  <si>
    <t>Usuários</t>
  </si>
  <si>
    <t xml:space="preserve">Senha </t>
  </si>
  <si>
    <t xml:space="preserve">NOME </t>
  </si>
  <si>
    <t xml:space="preserve">ENDEREÇO </t>
  </si>
  <si>
    <t>BAIRRO</t>
  </si>
  <si>
    <t>N°</t>
  </si>
  <si>
    <t xml:space="preserve">CIDADE </t>
  </si>
  <si>
    <t>ESTADO</t>
  </si>
  <si>
    <t>Carlos Isaque</t>
  </si>
  <si>
    <t>Fabio</t>
  </si>
  <si>
    <t>TELEFONE</t>
  </si>
  <si>
    <t xml:space="preserve">    EMAIL</t>
  </si>
  <si>
    <t/>
  </si>
  <si>
    <t>.</t>
  </si>
  <si>
    <r>
      <rPr>
        <b/>
        <i/>
        <sz val="16"/>
        <color theme="1"/>
        <rFont val="Calibri"/>
        <family val="2"/>
        <scheme val="minor"/>
      </rPr>
      <t>Mármoraria Stilo Art Classe A</t>
    </r>
    <r>
      <rPr>
        <b/>
        <sz val="16"/>
        <color theme="1"/>
        <rFont val="Calibri"/>
        <family val="2"/>
        <scheme val="minor"/>
      </rPr>
      <t xml:space="preserve"> agradeçe a preferência ! </t>
    </r>
  </si>
  <si>
    <t xml:space="preserve">              https://stiloartclassea.wixsite.com/stiloart</t>
  </si>
  <si>
    <t xml:space="preserve">OBSERVAÇÃO : MATERIAL NATURAL EXTRAIDO DE ROCHAS  ÍGNEAS INTERNAS QUE PODEM VARIAR O PADRÃO DE COLORAÇÃO E DESENHO </t>
  </si>
  <si>
    <t xml:space="preserve">PAGAMENTO: </t>
  </si>
  <si>
    <t>DATA DO PEDIDO</t>
  </si>
  <si>
    <t>VALOR TOTAL DESTE ORÇAMENTO</t>
  </si>
  <si>
    <t>TOTAL</t>
  </si>
  <si>
    <t>Total</t>
  </si>
  <si>
    <t>Valor m²</t>
  </si>
  <si>
    <t>m² ou m</t>
  </si>
  <si>
    <t>Material</t>
  </si>
  <si>
    <t xml:space="preserve">Área </t>
  </si>
  <si>
    <t xml:space="preserve">BAIRRO </t>
  </si>
  <si>
    <t>ENDEREÇO</t>
  </si>
  <si>
    <t>(16) 9 9130-9249</t>
  </si>
  <si>
    <t>C ity Petrópolis - Franca/SP</t>
  </si>
  <si>
    <t>Av. São Pedro, n° 711</t>
  </si>
  <si>
    <t>CADASTRO</t>
  </si>
  <si>
    <t xml:space="preserve">N Do Recibo </t>
  </si>
  <si>
    <t>Nome do cliente</t>
  </si>
  <si>
    <t>NUMERO DO CADASTRO</t>
  </si>
  <si>
    <t>VALOR FECHADO</t>
  </si>
  <si>
    <t>NOME DO CLIENTE</t>
  </si>
  <si>
    <t xml:space="preserve">VALOR DA ORDEM </t>
  </si>
  <si>
    <t>N° ORDEM DE SERVIÇO</t>
  </si>
  <si>
    <t>DESCONTO</t>
  </si>
  <si>
    <t>Saldo Bruto</t>
  </si>
  <si>
    <t>Total (Valor Fechado)</t>
  </si>
  <si>
    <t>Recibo referente ao pedido N°</t>
  </si>
  <si>
    <t>Média valor ordens</t>
  </si>
  <si>
    <t>Total (Valor Ordems)</t>
  </si>
  <si>
    <t>Valor Descontos</t>
  </si>
  <si>
    <t>DATA E HORA</t>
  </si>
  <si>
    <t>CUSTOS COM SANDRO</t>
  </si>
  <si>
    <t>ACABAMENTOS</t>
  </si>
  <si>
    <t>TIPO</t>
  </si>
  <si>
    <t>RETO SIMPLES</t>
  </si>
  <si>
    <t>RETO DUPLO</t>
  </si>
  <si>
    <t>MEIA CANA</t>
  </si>
  <si>
    <t>ABALOADO SIMPLES</t>
  </si>
  <si>
    <t>ABALOADO DUPLO</t>
  </si>
  <si>
    <t>MEIA ESQUADRIA</t>
  </si>
  <si>
    <t>MEIA ESQUADRIA (PORCELANATO)</t>
  </si>
  <si>
    <t>MEIA ESQUADRIA (NANO GLASS)</t>
  </si>
  <si>
    <t>MARMORES IMPORTADOS, CARRARA CREMAFIL E OUTROS</t>
  </si>
  <si>
    <t>COD.</t>
  </si>
  <si>
    <t>VALOR M²</t>
  </si>
  <si>
    <t>I</t>
  </si>
  <si>
    <t>II</t>
  </si>
  <si>
    <t>III</t>
  </si>
  <si>
    <t>IV</t>
  </si>
  <si>
    <t>V</t>
  </si>
  <si>
    <t>VI</t>
  </si>
  <si>
    <t>VII</t>
  </si>
  <si>
    <t>IX</t>
  </si>
  <si>
    <t>X</t>
  </si>
  <si>
    <t>CERRADOR</t>
  </si>
  <si>
    <t>MONTAGEM</t>
  </si>
  <si>
    <t>MEDIDAS CUBAS ESCULPIDAS E NICHOS</t>
  </si>
  <si>
    <t>ATÉ 1 X 0,40</t>
  </si>
  <si>
    <t>ATÉ 1,01 X 0,40</t>
  </si>
  <si>
    <t>ATÉ 1,51 X 0,40</t>
  </si>
  <si>
    <t>ATÉ 2,01 X 0,40</t>
  </si>
  <si>
    <t>VALOR</t>
  </si>
  <si>
    <t xml:space="preserve">TIPO </t>
  </si>
  <si>
    <t>PORCELANATO</t>
  </si>
  <si>
    <t>VALOR CLIENTE</t>
  </si>
  <si>
    <t>SALDO</t>
  </si>
  <si>
    <t>GRANITO</t>
  </si>
  <si>
    <t>CUSTO</t>
  </si>
  <si>
    <t>LUCRO</t>
  </si>
  <si>
    <t>Data</t>
  </si>
  <si>
    <t>Mês</t>
  </si>
  <si>
    <t>Março</t>
  </si>
  <si>
    <t>Abril</t>
  </si>
  <si>
    <t>Valor total recebido</t>
  </si>
  <si>
    <t>Valor a receber</t>
  </si>
  <si>
    <t>RECEBIDOS</t>
  </si>
  <si>
    <t>Fevereiro</t>
  </si>
  <si>
    <t>Recebido</t>
  </si>
  <si>
    <t>mês</t>
  </si>
  <si>
    <t>Janeiro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</si>
  <si>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</si>
  <si>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</si>
  <si>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</si>
  <si>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</si>
  <si>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</si>
  <si>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</si>
  <si>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</si>
  <si>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</si>
  <si>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MÊS</t>
  </si>
  <si>
    <t>N° de Obras</t>
  </si>
  <si>
    <t>Soma obras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</si>
  <si>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</si>
  <si>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</si>
  <si>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</si>
  <si>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</si>
  <si>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</si>
  <si>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</si>
  <si>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</si>
  <si>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</si>
  <si>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</si>
  <si>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</si>
  <si>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</si>
  <si>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</si>
  <si>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Lucro por mês</t>
  </si>
  <si>
    <t>ticket médio mensal</t>
  </si>
  <si>
    <t>CUSTO MÉDIO %</t>
  </si>
  <si>
    <t>Valor Cobrado/Custo</t>
  </si>
  <si>
    <t>FLUXO CAIXA</t>
  </si>
  <si>
    <t xml:space="preserve">CUSTOS </t>
  </si>
  <si>
    <t>MATERIAIS</t>
  </si>
  <si>
    <t>SANDRO</t>
  </si>
  <si>
    <t>PAGO/N PAGO</t>
  </si>
  <si>
    <t>Referente ao PEDIDO</t>
  </si>
  <si>
    <t>DATA PAGAMENTO MATERIAL</t>
  </si>
  <si>
    <t>n° de clientes</t>
  </si>
  <si>
    <t>FRETE</t>
  </si>
  <si>
    <t>DATA PAG.</t>
  </si>
  <si>
    <t>PAGO / N PAGO</t>
  </si>
  <si>
    <t>XIII</t>
  </si>
  <si>
    <t>Cliente</t>
  </si>
  <si>
    <t>COMISSAO</t>
  </si>
  <si>
    <t>FRETES</t>
  </si>
  <si>
    <t>FATURAMENTO</t>
  </si>
  <si>
    <t>MATERIAL</t>
  </si>
  <si>
    <t>OUTROS CUSTOS *</t>
  </si>
  <si>
    <t>SOMA</t>
  </si>
  <si>
    <t>PAGAMENTO MATERIAIS</t>
  </si>
  <si>
    <t>Preço</t>
  </si>
  <si>
    <t>Quantidade</t>
  </si>
  <si>
    <t>Código</t>
  </si>
  <si>
    <t>Valor</t>
  </si>
  <si>
    <t>Sandro</t>
  </si>
  <si>
    <t>Referente</t>
  </si>
  <si>
    <t>Fábio</t>
  </si>
  <si>
    <t>Total Gastos</t>
  </si>
  <si>
    <t xml:space="preserve">ANALÍSE CONTABÍL </t>
  </si>
  <si>
    <t>Local</t>
  </si>
  <si>
    <t>Faturamento Anual</t>
  </si>
  <si>
    <t>E-MAIL</t>
  </si>
  <si>
    <t>1</t>
  </si>
  <si>
    <t xml:space="preserve">VALOR FECHADO A VISTA </t>
  </si>
  <si>
    <t>Descriminação gastos</t>
  </si>
  <si>
    <t>Descrição</t>
  </si>
  <si>
    <t>COMBUSTIVEL</t>
  </si>
  <si>
    <t>ESCRITÓRIO</t>
  </si>
  <si>
    <t>SERVIÇO</t>
  </si>
  <si>
    <t>MÃO DE OBRA EDIMILSON</t>
  </si>
  <si>
    <t>MÃO DE OBRA SANDRO</t>
  </si>
  <si>
    <t>FOTO</t>
  </si>
  <si>
    <t>PRODUÇÃO 1</t>
  </si>
  <si>
    <t>PRODUÇÃO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</si>
</sst>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R$&quot;* #,##0.00_);_(&quot;R$&quot;* \(#,##0.00\);_(&quot;R$&quot;* &quot;-&quot;??_);_(@_)"/>
    <numFmt numFmtId="165" formatCode="&quot;R$&quot;#,##0.00_);[Red]\(&quot;R$&quot;#,##0.00\)"/>
    <numFmt numFmtId="166" formatCode="&quot;R$&quot;#,##0.00"/>
    <numFmt numFmtId="167" formatCode="_(&quot;R$&quot;* #,##0.000_);_(&quot;R$&quot;* \(#,##0.000\);_(&quot;R$&quot;* &quot;-&quot;??_);_(@_)"/>
  </numFmts>
  <fonts count="50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36"/>
      <color theme="1"/>
      <name val="Bahnschrift Condensed"/>
      <family val="2"/>
    </font>
    <font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30"/>
      <color theme="1"/>
      <name val="Bahnschrift SemiBold Condensed"/>
      <family val="2"/>
    </font>
    <font>
      <b/>
      <sz val="72"/>
      <color theme="1"/>
      <name val="Rockwell"/>
      <family val="1"/>
    </font>
    <font>
      <b/>
      <sz val="11"/>
      <color theme="1"/>
      <name val="Rockwell"/>
      <family val="1"/>
    </font>
    <font>
      <b/>
      <sz val="26"/>
      <color theme="1"/>
      <name val="Calibri"/>
      <family val="2"/>
      <scheme val="minor"/>
    </font>
    <font>
      <sz val="24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8"/>
      <color theme="1"/>
      <name val="Rockwell"/>
      <family val="1"/>
    </font>
    <font>
      <b/>
      <sz val="36"/>
      <color theme="1"/>
      <name val="Rockwell"/>
      <family val="1"/>
    </font>
    <font>
      <u/>
      <sz val="24"/>
      <color theme="10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24"/>
      <color theme="1"/>
      <name val="Bodoni MT Black"/>
      <family val="1"/>
    </font>
    <font>
      <b/>
      <sz val="2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Forte"/>
      <family val="4"/>
    </font>
    <font>
      <b/>
      <sz val="24"/>
      <color theme="0"/>
      <name val="Forte"/>
      <family val="4"/>
    </font>
    <font>
      <b/>
      <sz val="11"/>
      <color theme="1"/>
      <name val="Calibri"/>
      <family val="2"/>
      <scheme val="minor"/>
    </font>
    <font>
      <b/>
      <sz val="48"/>
      <color theme="1"/>
      <name val="Rockwell"/>
      <family val="1"/>
    </font>
    <font>
      <b/>
      <sz val="28"/>
      <color theme="1"/>
      <name val="Calibri"/>
      <family val="2"/>
      <scheme val="minor"/>
    </font>
    <font>
      <b/>
      <sz val="26"/>
      <color theme="1"/>
      <name val="Rockwell"/>
      <family val="1"/>
    </font>
    <font>
      <b/>
      <sz val="32"/>
      <color theme="1"/>
      <name val="Rockwell"/>
      <family val="1"/>
    </font>
    <font>
      <sz val="23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24"/>
      <color theme="1"/>
      <name val="Bodoni MT Black"/>
      <family val="1"/>
    </font>
    <font>
      <b/>
      <sz val="9"/>
      <color indexed="81"/>
      <name val="Segoe UI"/>
      <family val="2"/>
    </font>
    <font>
      <b/>
      <sz val="20"/>
      <color indexed="81"/>
      <name val="Segoe UI"/>
      <family val="2"/>
    </font>
    <font>
      <b/>
      <sz val="22"/>
      <color indexed="81"/>
      <name val="Segoe UI"/>
      <family val="2"/>
    </font>
    <font>
      <b/>
      <sz val="24"/>
      <color indexed="81"/>
      <name val="Segoe UI"/>
      <family val="2"/>
    </font>
    <font>
      <b/>
      <sz val="26"/>
      <color indexed="81"/>
      <name val="Segoe UI"/>
      <family val="2"/>
    </font>
    <font>
      <sz val="28"/>
      <color theme="1"/>
      <name val="Calibri"/>
      <family val="2"/>
      <scheme val="minor"/>
    </font>
    <font>
      <b/>
      <sz val="36"/>
      <color indexed="81"/>
      <name val="Segoe UI"/>
      <family val="2"/>
    </font>
    <font>
      <b/>
      <sz val="4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22"/>
      <color theme="1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164" fontId="6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324">
    <xf numFmtId="0" fontId="0" fillId="0" borderId="0" xfId="0"/>
    <xf numFmtId="0" fontId="2" fillId="0" borderId="1" xfId="0" applyFont="1" applyBorder="1"/>
    <xf numFmtId="0" fontId="3" fillId="2" borderId="1" xfId="0" applyFont="1" applyFill="1" applyBorder="1"/>
    <xf numFmtId="0" fontId="4" fillId="3" borderId="0" xfId="0" applyFont="1" applyFill="1" applyAlignment="1">
      <alignment horizontal="center" vertical="top"/>
    </xf>
    <xf numFmtId="0" fontId="5" fillId="0" borderId="0" xfId="0" applyFont="1"/>
    <xf numFmtId="166" fontId="11" fillId="0" borderId="0" xfId="0" applyNumberFormat="1" applyFont="1" applyBorder="1"/>
    <xf numFmtId="0" fontId="11" fillId="0" borderId="0" xfId="0" applyFont="1" applyBorder="1"/>
    <xf numFmtId="0" fontId="12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 vertical="top"/>
    </xf>
    <xf numFmtId="0" fontId="1" fillId="0" borderId="4" xfId="0" applyFont="1" applyBorder="1" applyAlignment="1">
      <alignment vertical="top"/>
    </xf>
    <xf numFmtId="0" fontId="1" fillId="0" borderId="0" xfId="0" applyFont="1" applyBorder="1" applyAlignment="1">
      <alignment horizontal="center"/>
    </xf>
    <xf numFmtId="0" fontId="1" fillId="0" borderId="5" xfId="0" applyFont="1" applyBorder="1"/>
    <xf numFmtId="0" fontId="1" fillId="0" borderId="1" xfId="0" applyFont="1" applyBorder="1"/>
    <xf numFmtId="0" fontId="1" fillId="0" borderId="6" xfId="0" applyFont="1" applyBorder="1"/>
    <xf numFmtId="0" fontId="1" fillId="0" borderId="18" xfId="0" applyFont="1" applyBorder="1"/>
    <xf numFmtId="0" fontId="7" fillId="0" borderId="0" xfId="0" applyFont="1" applyBorder="1"/>
    <xf numFmtId="0" fontId="12" fillId="0" borderId="0" xfId="0" applyFont="1" applyBorder="1" applyAlignment="1"/>
    <xf numFmtId="0" fontId="5" fillId="2" borderId="0" xfId="0" applyFont="1" applyFill="1"/>
    <xf numFmtId="0" fontId="5" fillId="2" borderId="24" xfId="0" applyFont="1" applyFill="1" applyBorder="1" applyAlignment="1"/>
    <xf numFmtId="0" fontId="5" fillId="0" borderId="1" xfId="0" applyFont="1" applyBorder="1"/>
    <xf numFmtId="1" fontId="4" fillId="3" borderId="0" xfId="0" applyNumberFormat="1" applyFont="1" applyFill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64" fontId="5" fillId="0" borderId="0" xfId="1" applyFont="1"/>
    <xf numFmtId="0" fontId="23" fillId="0" borderId="1" xfId="2" applyFont="1" applyBorder="1"/>
    <xf numFmtId="0" fontId="22" fillId="7" borderId="26" xfId="0" applyFont="1" applyFill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24" fillId="7" borderId="26" xfId="0" applyFont="1" applyFill="1" applyBorder="1" applyAlignment="1">
      <alignment vertical="center"/>
    </xf>
    <xf numFmtId="10" fontId="26" fillId="14" borderId="23" xfId="4" applyNumberFormat="1" applyFont="1" applyFill="1" applyBorder="1" applyAlignment="1">
      <alignment horizontal="center" vertical="center"/>
    </xf>
    <xf numFmtId="164" fontId="25" fillId="14" borderId="23" xfId="1" applyFont="1" applyFill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10" fontId="20" fillId="0" borderId="32" xfId="4" applyNumberFormat="1" applyFont="1" applyBorder="1" applyAlignment="1">
      <alignment horizontal="center" vertical="center"/>
    </xf>
    <xf numFmtId="0" fontId="20" fillId="0" borderId="30" xfId="0" applyFont="1" applyBorder="1"/>
    <xf numFmtId="0" fontId="5" fillId="0" borderId="1" xfId="0" applyFont="1" applyBorder="1" applyAlignment="1">
      <alignment horizontal="center" vertical="center"/>
    </xf>
    <xf numFmtId="164" fontId="5" fillId="0" borderId="1" xfId="1" applyFont="1" applyBorder="1"/>
    <xf numFmtId="10" fontId="5" fillId="0" borderId="1" xfId="4" applyNumberFormat="1" applyFont="1" applyBorder="1"/>
    <xf numFmtId="0" fontId="5" fillId="0" borderId="33" xfId="0" applyFont="1" applyBorder="1" applyAlignment="1">
      <alignment horizontal="center" vertical="center"/>
    </xf>
    <xf numFmtId="0" fontId="5" fillId="0" borderId="33" xfId="0" applyFont="1" applyBorder="1"/>
    <xf numFmtId="164" fontId="5" fillId="0" borderId="33" xfId="1" applyFont="1" applyBorder="1"/>
    <xf numFmtId="10" fontId="5" fillId="0" borderId="33" xfId="4" applyNumberFormat="1" applyFont="1" applyBorder="1"/>
    <xf numFmtId="0" fontId="5" fillId="0" borderId="0" xfId="0" applyFont="1" applyBorder="1" applyAlignment="1">
      <alignment horizontal="center" vertical="center"/>
    </xf>
    <xf numFmtId="0" fontId="5" fillId="0" borderId="0" xfId="0" applyFont="1" applyBorder="1"/>
    <xf numFmtId="164" fontId="5" fillId="0" borderId="0" xfId="1" applyFont="1" applyBorder="1"/>
    <xf numFmtId="10" fontId="5" fillId="0" borderId="0" xfId="4" applyNumberFormat="1" applyFont="1" applyBorder="1"/>
    <xf numFmtId="0" fontId="5" fillId="10" borderId="0" xfId="0" applyFont="1" applyFill="1"/>
    <xf numFmtId="164" fontId="7" fillId="0" borderId="0" xfId="5" applyFont="1" applyBorder="1"/>
    <xf numFmtId="164" fontId="7" fillId="0" borderId="5" xfId="5" applyFont="1" applyBorder="1"/>
    <xf numFmtId="164" fontId="7" fillId="0" borderId="7" xfId="5" applyFont="1" applyBorder="1"/>
    <xf numFmtId="164" fontId="7" fillId="0" borderId="11" xfId="5" applyNumberFormat="1" applyFont="1" applyBorder="1" applyAlignment="1">
      <alignment vertical="top"/>
    </xf>
    <xf numFmtId="2" fontId="7" fillId="0" borderId="11" xfId="6" applyNumberFormat="1" applyFont="1" applyBorder="1"/>
    <xf numFmtId="0" fontId="17" fillId="4" borderId="0" xfId="0" applyFont="1" applyFill="1" applyAlignment="1">
      <alignment vertical="center"/>
    </xf>
    <xf numFmtId="0" fontId="12" fillId="0" borderId="1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0" xfId="0" applyFont="1"/>
    <xf numFmtId="1" fontId="5" fillId="0" borderId="17" xfId="0" applyNumberFormat="1" applyFont="1" applyBorder="1" applyAlignment="1">
      <alignment horizontal="center" vertical="center"/>
    </xf>
    <xf numFmtId="1" fontId="5" fillId="0" borderId="33" xfId="0" applyNumberFormat="1" applyFont="1" applyBorder="1" applyAlignment="1">
      <alignment horizontal="center" vertical="center"/>
    </xf>
    <xf numFmtId="164" fontId="7" fillId="0" borderId="5" xfId="5" applyNumberFormat="1" applyFont="1" applyBorder="1"/>
    <xf numFmtId="164" fontId="1" fillId="0" borderId="10" xfId="0" applyNumberFormat="1" applyFont="1" applyBorder="1" applyAlignment="1"/>
    <xf numFmtId="0" fontId="0" fillId="0" borderId="30" xfId="0" applyBorder="1"/>
    <xf numFmtId="0" fontId="0" fillId="0" borderId="24" xfId="0" applyBorder="1"/>
    <xf numFmtId="0" fontId="0" fillId="0" borderId="31" xfId="0" applyBorder="1"/>
    <xf numFmtId="0" fontId="32" fillId="16" borderId="23" xfId="0" applyFont="1" applyFill="1" applyBorder="1"/>
    <xf numFmtId="164" fontId="0" fillId="0" borderId="30" xfId="0" applyNumberFormat="1" applyBorder="1"/>
    <xf numFmtId="164" fontId="0" fillId="0" borderId="24" xfId="0" applyNumberFormat="1" applyBorder="1"/>
    <xf numFmtId="164" fontId="0" fillId="0" borderId="31" xfId="0" applyNumberFormat="1" applyBorder="1"/>
    <xf numFmtId="164" fontId="0" fillId="0" borderId="0" xfId="0" applyNumberFormat="1" applyBorder="1"/>
    <xf numFmtId="0" fontId="32" fillId="16" borderId="30" xfId="0" applyFont="1" applyFill="1" applyBorder="1"/>
    <xf numFmtId="166" fontId="0" fillId="0" borderId="1" xfId="0" applyNumberFormat="1" applyBorder="1"/>
    <xf numFmtId="0" fontId="0" fillId="0" borderId="1" xfId="0" applyBorder="1"/>
    <xf numFmtId="164" fontId="0" fillId="0" borderId="1" xfId="0" applyNumberFormat="1" applyBorder="1"/>
    <xf numFmtId="166" fontId="0" fillId="0" borderId="0" xfId="0" applyNumberFormat="1"/>
    <xf numFmtId="0" fontId="0" fillId="0" borderId="32" xfId="0" applyBorder="1"/>
    <xf numFmtId="0" fontId="0" fillId="0" borderId="35" xfId="0" applyBorder="1"/>
    <xf numFmtId="164" fontId="0" fillId="0" borderId="34" xfId="1" applyFont="1" applyBorder="1"/>
    <xf numFmtId="164" fontId="0" fillId="0" borderId="37" xfId="1" applyFont="1" applyBorder="1"/>
    <xf numFmtId="0" fontId="5" fillId="16" borderId="1" xfId="0" applyFont="1" applyFill="1" applyBorder="1"/>
    <xf numFmtId="0" fontId="20" fillId="0" borderId="0" xfId="0" applyFont="1"/>
    <xf numFmtId="9" fontId="5" fillId="0" borderId="17" xfId="4" applyFont="1" applyBorder="1" applyAlignment="1">
      <alignment horizontal="center"/>
    </xf>
    <xf numFmtId="0" fontId="5" fillId="0" borderId="17" xfId="0" applyFont="1" applyBorder="1"/>
    <xf numFmtId="0" fontId="20" fillId="0" borderId="1" xfId="0" applyFont="1" applyBorder="1"/>
    <xf numFmtId="164" fontId="24" fillId="0" borderId="23" xfId="1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164" fontId="35" fillId="4" borderId="0" xfId="0" applyNumberFormat="1" applyFont="1" applyFill="1" applyAlignment="1">
      <alignment vertical="center"/>
    </xf>
    <xf numFmtId="0" fontId="18" fillId="0" borderId="30" xfId="0" applyFont="1" applyBorder="1" applyAlignment="1">
      <alignment horizontal="center" vertical="center"/>
    </xf>
    <xf numFmtId="164" fontId="18" fillId="0" borderId="30" xfId="1" applyFont="1" applyBorder="1" applyAlignment="1">
      <alignment horizontal="center" vertical="center"/>
    </xf>
    <xf numFmtId="0" fontId="18" fillId="0" borderId="34" xfId="0" applyFont="1" applyBorder="1" applyAlignment="1">
      <alignment horizontal="center" vertical="center"/>
    </xf>
    <xf numFmtId="0" fontId="34" fillId="0" borderId="30" xfId="0" applyFont="1" applyBorder="1" applyAlignment="1">
      <alignment horizontal="center" vertical="center"/>
    </xf>
    <xf numFmtId="14" fontId="5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4" fontId="36" fillId="4" borderId="0" xfId="0" applyNumberFormat="1" applyFont="1" applyFill="1" applyAlignment="1">
      <alignment vertical="center"/>
    </xf>
    <xf numFmtId="0" fontId="5" fillId="0" borderId="0" xfId="0" applyFont="1" applyAlignment="1"/>
    <xf numFmtId="0" fontId="35" fillId="4" borderId="0" xfId="0" applyFont="1" applyFill="1" applyAlignment="1">
      <alignment vertical="center"/>
    </xf>
    <xf numFmtId="0" fontId="22" fillId="4" borderId="0" xfId="0" applyFont="1" applyFill="1" applyAlignment="1">
      <alignment vertical="center"/>
    </xf>
    <xf numFmtId="164" fontId="20" fillId="0" borderId="1" xfId="1" applyFont="1" applyBorder="1" applyAlignment="1"/>
    <xf numFmtId="0" fontId="18" fillId="0" borderId="1" xfId="0" applyFont="1" applyBorder="1" applyAlignment="1"/>
    <xf numFmtId="0" fontId="5" fillId="17" borderId="1" xfId="0" applyFont="1" applyFill="1" applyBorder="1"/>
    <xf numFmtId="164" fontId="5" fillId="17" borderId="1" xfId="1" applyFont="1" applyFill="1" applyBorder="1"/>
    <xf numFmtId="10" fontId="5" fillId="17" borderId="1" xfId="4" applyNumberFormat="1" applyFont="1" applyFill="1" applyBorder="1" applyAlignment="1">
      <alignment horizontal="center" vertical="center"/>
    </xf>
    <xf numFmtId="0" fontId="5" fillId="17" borderId="1" xfId="0" applyFont="1" applyFill="1" applyBorder="1" applyAlignment="1">
      <alignment horizontal="center" vertical="center"/>
    </xf>
    <xf numFmtId="164" fontId="5" fillId="0" borderId="0" xfId="0" applyNumberFormat="1" applyFont="1"/>
    <xf numFmtId="0" fontId="24" fillId="0" borderId="1" xfId="0" applyFont="1" applyBorder="1"/>
    <xf numFmtId="0" fontId="20" fillId="0" borderId="1" xfId="0" applyFont="1" applyBorder="1" applyAlignment="1">
      <alignment horizontal="center"/>
    </xf>
    <xf numFmtId="164" fontId="37" fillId="0" borderId="0" xfId="1" applyFont="1"/>
    <xf numFmtId="9" fontId="20" fillId="17" borderId="17" xfId="4" applyFont="1" applyFill="1" applyBorder="1" applyAlignment="1">
      <alignment horizontal="center"/>
    </xf>
    <xf numFmtId="0" fontId="18" fillId="0" borderId="0" xfId="0" applyFont="1" applyBorder="1" applyAlignment="1">
      <alignment horizontal="center" vertical="center"/>
    </xf>
    <xf numFmtId="164" fontId="18" fillId="0" borderId="0" xfId="1" applyFont="1" applyBorder="1" applyAlignment="1">
      <alignment horizontal="center" vertical="center"/>
    </xf>
    <xf numFmtId="0" fontId="34" fillId="0" borderId="0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64" fontId="20" fillId="0" borderId="1" xfId="1" applyFont="1" applyBorder="1"/>
    <xf numFmtId="0" fontId="20" fillId="17" borderId="1" xfId="0" applyFont="1" applyFill="1" applyBorder="1" applyAlignment="1">
      <alignment horizontal="center" vertical="center"/>
    </xf>
    <xf numFmtId="0" fontId="20" fillId="0" borderId="39" xfId="0" applyFont="1" applyBorder="1" applyAlignment="1">
      <alignment horizontal="center" vertical="center"/>
    </xf>
    <xf numFmtId="0" fontId="20" fillId="0" borderId="39" xfId="0" applyFont="1" applyBorder="1"/>
    <xf numFmtId="1" fontId="5" fillId="17" borderId="1" xfId="0" applyNumberFormat="1" applyFont="1" applyFill="1" applyBorder="1" applyAlignment="1">
      <alignment horizontal="center" vertical="center"/>
    </xf>
    <xf numFmtId="10" fontId="5" fillId="17" borderId="1" xfId="4" applyNumberFormat="1" applyFont="1" applyFill="1" applyBorder="1"/>
    <xf numFmtId="0" fontId="5" fillId="17" borderId="0" xfId="0" applyFont="1" applyFill="1"/>
    <xf numFmtId="0" fontId="18" fillId="0" borderId="30" xfId="0" applyFont="1" applyBorder="1" applyAlignment="1">
      <alignment horizontal="center"/>
    </xf>
    <xf numFmtId="0" fontId="5" fillId="0" borderId="0" xfId="0" applyFont="1" applyAlignment="1">
      <alignment horizontal="center"/>
    </xf>
    <xf numFmtId="14" fontId="5" fillId="0" borderId="0" xfId="0" applyNumberFormat="1" applyFont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164" fontId="22" fillId="4" borderId="0" xfId="1" applyFont="1" applyFill="1" applyAlignment="1">
      <alignment vertical="center"/>
    </xf>
    <xf numFmtId="164" fontId="24" fillId="14" borderId="31" xfId="0" applyNumberFormat="1" applyFont="1" applyFill="1" applyBorder="1" applyAlignment="1">
      <alignment vertical="center"/>
    </xf>
    <xf numFmtId="164" fontId="26" fillId="0" borderId="31" xfId="0" applyNumberFormat="1" applyFont="1" applyBorder="1"/>
    <xf numFmtId="164" fontId="20" fillId="18" borderId="1" xfId="1" applyFont="1" applyFill="1" applyBorder="1" applyAlignment="1">
      <alignment horizontal="center" vertical="center"/>
    </xf>
    <xf numFmtId="164" fontId="20" fillId="18" borderId="1" xfId="1" applyFont="1" applyFill="1" applyBorder="1"/>
    <xf numFmtId="0" fontId="20" fillId="18" borderId="1" xfId="0" applyFont="1" applyFill="1" applyBorder="1"/>
    <xf numFmtId="164" fontId="5" fillId="19" borderId="1" xfId="1" applyFont="1" applyFill="1" applyBorder="1"/>
    <xf numFmtId="0" fontId="39" fillId="18" borderId="1" xfId="0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/>
    </xf>
    <xf numFmtId="9" fontId="38" fillId="0" borderId="0" xfId="4" applyFont="1"/>
    <xf numFmtId="0" fontId="45" fillId="0" borderId="0" xfId="0" applyFont="1"/>
    <xf numFmtId="164" fontId="45" fillId="0" borderId="0" xfId="0" applyNumberFormat="1" applyFont="1"/>
    <xf numFmtId="0" fontId="20" fillId="18" borderId="1" xfId="0" applyFont="1" applyFill="1" applyBorder="1" applyAlignment="1">
      <alignment horizontal="center"/>
    </xf>
    <xf numFmtId="0" fontId="5" fillId="18" borderId="1" xfId="0" applyFont="1" applyFill="1" applyBorder="1"/>
    <xf numFmtId="164" fontId="5" fillId="18" borderId="1" xfId="0" applyNumberFormat="1" applyFont="1" applyFill="1" applyBorder="1"/>
    <xf numFmtId="164" fontId="5" fillId="18" borderId="1" xfId="1" applyFont="1" applyFill="1" applyBorder="1"/>
    <xf numFmtId="165" fontId="22" fillId="4" borderId="0" xfId="1" applyNumberFormat="1" applyFont="1" applyFill="1" applyAlignment="1">
      <alignment horizontal="center" vertical="center"/>
    </xf>
    <xf numFmtId="165" fontId="22" fillId="4" borderId="0" xfId="0" applyNumberFormat="1" applyFont="1" applyFill="1" applyAlignment="1">
      <alignment vertical="center"/>
    </xf>
    <xf numFmtId="165" fontId="22" fillId="4" borderId="0" xfId="0" applyNumberFormat="1" applyFont="1" applyFill="1" applyAlignment="1">
      <alignment horizontal="center" vertical="center"/>
    </xf>
    <xf numFmtId="164" fontId="22" fillId="4" borderId="0" xfId="0" applyNumberFormat="1" applyFont="1" applyFill="1" applyAlignment="1">
      <alignment horizontal="center" vertical="center"/>
    </xf>
    <xf numFmtId="0" fontId="0" fillId="2" borderId="0" xfId="0" applyFont="1" applyFill="1"/>
    <xf numFmtId="164" fontId="5" fillId="0" borderId="0" xfId="0" applyNumberFormat="1" applyFont="1"/>
    <xf numFmtId="164" fontId="20" fillId="17" borderId="1" xfId="1" applyFont="1" applyFill="1" applyBorder="1"/>
    <xf numFmtId="0" fontId="20" fillId="17" borderId="1" xfId="0" applyFont="1" applyFill="1" applyBorder="1"/>
    <xf numFmtId="164" fontId="20" fillId="18" borderId="33" xfId="1" applyFont="1" applyFill="1" applyBorder="1"/>
    <xf numFmtId="0" fontId="39" fillId="18" borderId="33" xfId="0" applyFont="1" applyFill="1" applyBorder="1" applyAlignment="1">
      <alignment horizontal="center" vertical="center"/>
    </xf>
    <xf numFmtId="164" fontId="5" fillId="18" borderId="33" xfId="1" applyFont="1" applyFill="1" applyBorder="1"/>
    <xf numFmtId="164" fontId="20" fillId="18" borderId="39" xfId="1" applyFont="1" applyFill="1" applyBorder="1"/>
    <xf numFmtId="0" fontId="5" fillId="17" borderId="0" xfId="0" applyFont="1" applyFill="1" applyBorder="1"/>
    <xf numFmtId="164" fontId="20" fillId="17" borderId="0" xfId="1" applyFont="1" applyFill="1" applyBorder="1"/>
    <xf numFmtId="0" fontId="39" fillId="17" borderId="0" xfId="0" applyFont="1" applyFill="1" applyBorder="1" applyAlignment="1">
      <alignment horizontal="center" vertical="center"/>
    </xf>
    <xf numFmtId="0" fontId="20" fillId="17" borderId="0" xfId="0" applyFont="1" applyFill="1" applyBorder="1" applyAlignment="1">
      <alignment horizontal="center" vertical="center"/>
    </xf>
    <xf numFmtId="0" fontId="20" fillId="17" borderId="0" xfId="0" applyFont="1" applyFill="1" applyBorder="1"/>
    <xf numFmtId="164" fontId="5" fillId="17" borderId="0" xfId="1" applyFont="1" applyFill="1" applyBorder="1"/>
    <xf numFmtId="0" fontId="27" fillId="17" borderId="0" xfId="0" applyFont="1" applyFill="1" applyBorder="1" applyAlignment="1">
      <alignment horizontal="center" vertical="center"/>
    </xf>
    <xf numFmtId="0" fontId="5" fillId="17" borderId="0" xfId="0" applyFont="1" applyFill="1" applyBorder="1" applyAlignment="1">
      <alignment horizontal="center" vertical="center"/>
    </xf>
    <xf numFmtId="0" fontId="5" fillId="0" borderId="40" xfId="0" applyFont="1" applyBorder="1"/>
    <xf numFmtId="0" fontId="20" fillId="0" borderId="33" xfId="0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14" fontId="20" fillId="17" borderId="1" xfId="0" applyNumberFormat="1" applyFont="1" applyFill="1" applyBorder="1" applyAlignment="1">
      <alignment horizontal="center"/>
    </xf>
    <xf numFmtId="164" fontId="20" fillId="17" borderId="1" xfId="1" applyFont="1" applyFill="1" applyBorder="1" applyAlignment="1">
      <alignment horizontal="center" vertical="center"/>
    </xf>
    <xf numFmtId="0" fontId="20" fillId="17" borderId="33" xfId="0" applyFont="1" applyFill="1" applyBorder="1" applyAlignment="1">
      <alignment horizontal="center" vertical="center"/>
    </xf>
    <xf numFmtId="0" fontId="20" fillId="17" borderId="33" xfId="0" applyFont="1" applyFill="1" applyBorder="1"/>
    <xf numFmtId="164" fontId="5" fillId="17" borderId="1" xfId="0" applyNumberFormat="1" applyFont="1" applyFill="1" applyBorder="1"/>
    <xf numFmtId="0" fontId="34" fillId="0" borderId="0" xfId="0" applyFont="1" applyAlignment="1">
      <alignment horizontal="center"/>
    </xf>
    <xf numFmtId="14" fontId="20" fillId="18" borderId="1" xfId="1" applyNumberFormat="1" applyFont="1" applyFill="1" applyBorder="1"/>
    <xf numFmtId="14" fontId="39" fillId="18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/>
    <xf numFmtId="164" fontId="0" fillId="0" borderId="0" xfId="1" applyFont="1"/>
    <xf numFmtId="16" fontId="0" fillId="0" borderId="0" xfId="0" applyNumberFormat="1"/>
    <xf numFmtId="0" fontId="48" fillId="0" borderId="1" xfId="0" applyFont="1" applyBorder="1" applyAlignment="1">
      <alignment horizontal="center"/>
    </xf>
    <xf numFmtId="164" fontId="48" fillId="0" borderId="1" xfId="1" applyFont="1" applyBorder="1" applyAlignment="1">
      <alignment horizontal="center"/>
    </xf>
    <xf numFmtId="0" fontId="0" fillId="17" borderId="1" xfId="0" applyFill="1" applyBorder="1"/>
    <xf numFmtId="14" fontId="0" fillId="17" borderId="1" xfId="0" applyNumberFormat="1" applyFill="1" applyBorder="1"/>
    <xf numFmtId="164" fontId="0" fillId="17" borderId="1" xfId="1" applyFont="1" applyFill="1" applyBorder="1"/>
    <xf numFmtId="167" fontId="0" fillId="17" borderId="1" xfId="1" applyNumberFormat="1" applyFont="1" applyFill="1" applyBorder="1"/>
    <xf numFmtId="2" fontId="0" fillId="17" borderId="1" xfId="0" applyNumberFormat="1" applyFill="1" applyBorder="1"/>
    <xf numFmtId="14" fontId="0" fillId="0" borderId="1" xfId="0" applyNumberFormat="1" applyBorder="1"/>
    <xf numFmtId="164" fontId="0" fillId="0" borderId="1" xfId="1" applyFont="1" applyBorder="1"/>
    <xf numFmtId="0" fontId="0" fillId="17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164" fontId="5" fillId="6" borderId="1" xfId="1" applyFont="1" applyFill="1" applyBorder="1"/>
    <xf numFmtId="164" fontId="0" fillId="17" borderId="1" xfId="1" applyFont="1" applyFill="1" applyBorder="1" applyAlignment="1">
      <alignment horizontal="center"/>
    </xf>
    <xf numFmtId="164" fontId="0" fillId="0" borderId="1" xfId="1" applyFont="1" applyBorder="1" applyAlignment="1">
      <alignment horizontal="center"/>
    </xf>
    <xf numFmtId="0" fontId="7" fillId="6" borderId="1" xfId="0" applyFont="1" applyFill="1" applyBorder="1"/>
    <xf numFmtId="164" fontId="7" fillId="6" borderId="1" xfId="1" applyFont="1" applyFill="1" applyBorder="1"/>
    <xf numFmtId="0" fontId="0" fillId="0" borderId="1" xfId="0" applyBorder="1" applyAlignment="1">
      <alignment horizontal="center" vertical="center"/>
    </xf>
    <xf numFmtId="0" fontId="0" fillId="0" borderId="1" xfId="0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164" fontId="0" fillId="16" borderId="1" xfId="0" applyNumberFormat="1" applyFill="1" applyBorder="1"/>
    <xf numFmtId="164" fontId="0" fillId="16" borderId="39" xfId="0" applyNumberFormat="1" applyFill="1" applyBorder="1"/>
    <xf numFmtId="164" fontId="0" fillId="16" borderId="41" xfId="0" applyNumberFormat="1" applyFill="1" applyBorder="1"/>
    <xf numFmtId="14" fontId="0" fillId="0" borderId="17" xfId="0" applyNumberFormat="1" applyBorder="1"/>
    <xf numFmtId="0" fontId="32" fillId="0" borderId="1" xfId="0" applyFont="1" applyBorder="1"/>
    <xf numFmtId="164" fontId="7" fillId="0" borderId="1" xfId="1" applyFont="1" applyBorder="1" applyAlignment="1">
      <alignment vertical="top"/>
    </xf>
    <xf numFmtId="0" fontId="0" fillId="0" borderId="1" xfId="0" applyBorder="1" applyAlignment="1">
      <alignment horizontal="center" vertical="center"/>
    </xf>
    <xf numFmtId="0" fontId="0" fillId="0" borderId="1" xfId="0" applyFont="1" applyFill="1" applyBorder="1" applyAlignment="1">
      <alignment horizontal="center"/>
    </xf>
    <xf numFmtId="164" fontId="5" fillId="5" borderId="1" xfId="1" applyFont="1" applyFill="1" applyBorder="1"/>
    <xf numFmtId="2" fontId="7" fillId="0" borderId="1" xfId="6" applyNumberFormat="1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5" xfId="0" applyFont="1" applyBorder="1" applyAlignment="1"/>
    <xf numFmtId="0" fontId="1" fillId="0" borderId="14" xfId="0" applyFont="1" applyBorder="1" applyAlignment="1"/>
    <xf numFmtId="9" fontId="0" fillId="0" borderId="0" xfId="4" applyFont="1"/>
    <xf numFmtId="0" fontId="32" fillId="0" borderId="1" xfId="0" applyFont="1" applyFill="1" applyBorder="1"/>
    <xf numFmtId="164" fontId="0" fillId="0" borderId="1" xfId="0" applyNumberFormat="1" applyBorder="1"/>
    <xf numFmtId="164" fontId="0" fillId="16" borderId="33" xfId="0" applyNumberFormat="1" applyFill="1" applyBorder="1"/>
    <xf numFmtId="0" fontId="5" fillId="2" borderId="0" xfId="0" applyFont="1" applyFill="1" applyAlignment="1">
      <alignment vertical="center"/>
    </xf>
    <xf numFmtId="164" fontId="0" fillId="0" borderId="1" xfId="1" applyFont="1" applyFill="1" applyBorder="1"/>
    <xf numFmtId="164" fontId="0" fillId="16" borderId="0" xfId="0" applyNumberFormat="1" applyFill="1"/>
    <xf numFmtId="0" fontId="5" fillId="2" borderId="28" xfId="0" applyFont="1" applyFill="1" applyBorder="1" applyAlignment="1"/>
    <xf numFmtId="164" fontId="5" fillId="7" borderId="1" xfId="1" applyFont="1" applyFill="1" applyBorder="1"/>
    <xf numFmtId="9" fontId="5" fillId="17" borderId="17" xfId="4" applyFont="1" applyFill="1" applyBorder="1" applyAlignment="1">
      <alignment horizontal="center"/>
    </xf>
    <xf numFmtId="0" fontId="0" fillId="0" borderId="41" xfId="0" applyFill="1" applyBorder="1"/>
    <xf numFmtId="0" fontId="0" fillId="0" borderId="41" xfId="0" applyFill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5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center"/>
    </xf>
    <xf numFmtId="0" fontId="15" fillId="0" borderId="22" xfId="0" applyFont="1" applyBorder="1" applyAlignment="1">
      <alignment horizontal="center" vertical="top"/>
    </xf>
    <xf numFmtId="0" fontId="14" fillId="0" borderId="12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49" fillId="0" borderId="1" xfId="2" applyFont="1" applyBorder="1" applyAlignment="1">
      <alignment horizontal="center" vertical="center"/>
    </xf>
    <xf numFmtId="0" fontId="7" fillId="7" borderId="21" xfId="0" applyFont="1" applyFill="1" applyBorder="1" applyAlignment="1">
      <alignment horizontal="left" vertical="center"/>
    </xf>
    <xf numFmtId="0" fontId="7" fillId="7" borderId="20" xfId="0" applyFont="1" applyFill="1" applyBorder="1" applyAlignment="1">
      <alignment horizontal="left" vertical="center"/>
    </xf>
    <xf numFmtId="0" fontId="7" fillId="7" borderId="19" xfId="0" applyFont="1" applyFill="1" applyBorder="1" applyAlignment="1">
      <alignment horizontal="left" vertical="center"/>
    </xf>
    <xf numFmtId="0" fontId="7" fillId="6" borderId="17" xfId="0" applyFont="1" applyFill="1" applyBorder="1" applyAlignment="1">
      <alignment horizontal="center"/>
    </xf>
    <xf numFmtId="0" fontId="7" fillId="6" borderId="14" xfId="0" applyFont="1" applyFill="1" applyBorder="1" applyAlignment="1">
      <alignment horizontal="center"/>
    </xf>
    <xf numFmtId="0" fontId="7" fillId="6" borderId="16" xfId="0" applyFont="1" applyFill="1" applyBorder="1" applyAlignment="1">
      <alignment horizontal="center"/>
    </xf>
    <xf numFmtId="0" fontId="7" fillId="5" borderId="17" xfId="0" applyFont="1" applyFill="1" applyBorder="1" applyAlignment="1">
      <alignment horizontal="center"/>
    </xf>
    <xf numFmtId="0" fontId="7" fillId="5" borderId="14" xfId="0" applyFont="1" applyFill="1" applyBorder="1" applyAlignment="1">
      <alignment horizontal="center"/>
    </xf>
    <xf numFmtId="0" fontId="7" fillId="5" borderId="16" xfId="0" applyFont="1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0" fillId="0" borderId="0" xfId="2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" fillId="0" borderId="9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6" xfId="0" applyFont="1" applyBorder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1" fillId="0" borderId="3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3" fillId="0" borderId="0" xfId="0" applyNumberFormat="1" applyFont="1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16" borderId="32" xfId="0" applyFill="1" applyBorder="1" applyAlignment="1">
      <alignment horizontal="center" vertical="center"/>
    </xf>
    <xf numFmtId="0" fontId="0" fillId="16" borderId="29" xfId="0" applyFill="1" applyBorder="1" applyAlignment="1">
      <alignment horizontal="center" vertical="center"/>
    </xf>
    <xf numFmtId="0" fontId="0" fillId="16" borderId="34" xfId="0" applyFill="1" applyBorder="1" applyAlignment="1">
      <alignment horizontal="center" vertical="center"/>
    </xf>
    <xf numFmtId="0" fontId="0" fillId="16" borderId="35" xfId="0" applyFill="1" applyBorder="1" applyAlignment="1">
      <alignment horizontal="center" vertical="center"/>
    </xf>
    <xf numFmtId="0" fontId="0" fillId="16" borderId="36" xfId="0" applyFill="1" applyBorder="1" applyAlignment="1">
      <alignment horizontal="center" vertical="center"/>
    </xf>
    <xf numFmtId="0" fontId="0" fillId="16" borderId="37" xfId="0" applyFill="1" applyBorder="1" applyAlignment="1">
      <alignment horizontal="center" vertical="center"/>
    </xf>
    <xf numFmtId="0" fontId="0" fillId="16" borderId="28" xfId="0" applyFill="1" applyBorder="1" applyAlignment="1">
      <alignment horizontal="center"/>
    </xf>
    <xf numFmtId="0" fontId="0" fillId="16" borderId="0" xfId="0" applyFill="1" applyBorder="1" applyAlignment="1">
      <alignment horizontal="center"/>
    </xf>
    <xf numFmtId="0" fontId="0" fillId="16" borderId="38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32" fillId="16" borderId="32" xfId="0" applyFont="1" applyFill="1" applyBorder="1" applyAlignment="1">
      <alignment horizontal="center"/>
    </xf>
    <xf numFmtId="0" fontId="32" fillId="16" borderId="29" xfId="0" applyFont="1" applyFill="1" applyBorder="1" applyAlignment="1">
      <alignment horizontal="center"/>
    </xf>
    <xf numFmtId="0" fontId="32" fillId="16" borderId="34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22" fontId="29" fillId="0" borderId="0" xfId="0" applyNumberFormat="1" applyFont="1" applyAlignment="1">
      <alignment horizontal="center" vertical="center"/>
    </xf>
    <xf numFmtId="22" fontId="31" fillId="15" borderId="32" xfId="0" applyNumberFormat="1" applyFont="1" applyFill="1" applyBorder="1" applyAlignment="1">
      <alignment horizontal="center"/>
    </xf>
    <xf numFmtId="0" fontId="31" fillId="15" borderId="29" xfId="0" applyFont="1" applyFill="1" applyBorder="1" applyAlignment="1">
      <alignment horizontal="center"/>
    </xf>
    <xf numFmtId="0" fontId="31" fillId="15" borderId="34" xfId="0" applyFont="1" applyFill="1" applyBorder="1" applyAlignment="1">
      <alignment horizontal="center"/>
    </xf>
    <xf numFmtId="0" fontId="31" fillId="15" borderId="35" xfId="0" applyFont="1" applyFill="1" applyBorder="1" applyAlignment="1">
      <alignment horizontal="center"/>
    </xf>
    <xf numFmtId="0" fontId="31" fillId="15" borderId="36" xfId="0" applyFont="1" applyFill="1" applyBorder="1" applyAlignment="1">
      <alignment horizontal="center"/>
    </xf>
    <xf numFmtId="0" fontId="31" fillId="15" borderId="37" xfId="0" applyFont="1" applyFill="1" applyBorder="1" applyAlignment="1">
      <alignment horizontal="center"/>
    </xf>
    <xf numFmtId="22" fontId="30" fillId="15" borderId="0" xfId="0" applyNumberFormat="1" applyFont="1" applyFill="1" applyAlignment="1">
      <alignment horizontal="center"/>
    </xf>
    <xf numFmtId="164" fontId="47" fillId="0" borderId="32" xfId="1" applyFont="1" applyBorder="1" applyAlignment="1">
      <alignment horizontal="center" vertical="center"/>
    </xf>
    <xf numFmtId="164" fontId="47" fillId="0" borderId="34" xfId="1" applyFont="1" applyBorder="1" applyAlignment="1">
      <alignment horizontal="center" vertical="center"/>
    </xf>
    <xf numFmtId="164" fontId="47" fillId="0" borderId="35" xfId="1" applyFont="1" applyBorder="1" applyAlignment="1">
      <alignment horizontal="center" vertical="center"/>
    </xf>
    <xf numFmtId="164" fontId="47" fillId="0" borderId="37" xfId="1" applyFont="1" applyBorder="1" applyAlignment="1">
      <alignment horizontal="center" vertical="center"/>
    </xf>
    <xf numFmtId="0" fontId="34" fillId="0" borderId="0" xfId="0" applyFont="1" applyAlignment="1">
      <alignment horizontal="center"/>
    </xf>
    <xf numFmtId="0" fontId="19" fillId="11" borderId="25" xfId="0" applyFont="1" applyFill="1" applyBorder="1" applyAlignment="1">
      <alignment horizontal="center"/>
    </xf>
    <xf numFmtId="0" fontId="19" fillId="11" borderId="26" xfId="0" applyFont="1" applyFill="1" applyBorder="1" applyAlignment="1">
      <alignment horizontal="center"/>
    </xf>
    <xf numFmtId="0" fontId="19" fillId="11" borderId="27" xfId="0" applyFont="1" applyFill="1" applyBorder="1" applyAlignment="1">
      <alignment horizontal="center"/>
    </xf>
    <xf numFmtId="0" fontId="5" fillId="2" borderId="24" xfId="0" applyFont="1" applyFill="1" applyBorder="1" applyAlignment="1">
      <alignment horizontal="center"/>
    </xf>
    <xf numFmtId="0" fontId="16" fillId="4" borderId="0" xfId="0" applyFont="1" applyFill="1" applyAlignment="1">
      <alignment horizontal="center" vertical="center"/>
    </xf>
    <xf numFmtId="0" fontId="17" fillId="4" borderId="0" xfId="0" applyFont="1" applyFill="1" applyAlignment="1">
      <alignment horizontal="center" vertical="center"/>
    </xf>
    <xf numFmtId="0" fontId="25" fillId="0" borderId="0" xfId="0" applyFont="1" applyAlignment="1">
      <alignment horizontal="center"/>
    </xf>
    <xf numFmtId="0" fontId="5" fillId="10" borderId="25" xfId="0" applyFont="1" applyFill="1" applyBorder="1" applyAlignment="1">
      <alignment horizontal="center"/>
    </xf>
    <xf numFmtId="0" fontId="5" fillId="10" borderId="26" xfId="0" applyFont="1" applyFill="1" applyBorder="1" applyAlignment="1">
      <alignment horizontal="center"/>
    </xf>
    <xf numFmtId="0" fontId="5" fillId="10" borderId="27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0" fontId="5" fillId="8" borderId="26" xfId="0" applyFont="1" applyFill="1" applyBorder="1" applyAlignment="1">
      <alignment horizontal="center"/>
    </xf>
    <xf numFmtId="0" fontId="5" fillId="8" borderId="27" xfId="0" applyFont="1" applyFill="1" applyBorder="1" applyAlignment="1">
      <alignment horizontal="center"/>
    </xf>
    <xf numFmtId="0" fontId="5" fillId="2" borderId="32" xfId="0" applyFont="1" applyFill="1" applyBorder="1" applyAlignment="1">
      <alignment horizontal="center"/>
    </xf>
    <xf numFmtId="0" fontId="5" fillId="2" borderId="28" xfId="0" applyFont="1" applyFill="1" applyBorder="1" applyAlignment="1">
      <alignment horizontal="center"/>
    </xf>
    <xf numFmtId="0" fontId="16" fillId="4" borderId="28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  <xf numFmtId="0" fontId="19" fillId="9" borderId="25" xfId="0" applyFont="1" applyFill="1" applyBorder="1" applyAlignment="1">
      <alignment horizontal="center"/>
    </xf>
    <xf numFmtId="0" fontId="19" fillId="9" borderId="26" xfId="0" applyFont="1" applyFill="1" applyBorder="1" applyAlignment="1">
      <alignment horizontal="center"/>
    </xf>
    <xf numFmtId="0" fontId="19" fillId="9" borderId="27" xfId="0" applyFont="1" applyFill="1" applyBorder="1" applyAlignment="1">
      <alignment horizontal="center"/>
    </xf>
    <xf numFmtId="0" fontId="16" fillId="4" borderId="25" xfId="0" applyFont="1" applyFill="1" applyBorder="1" applyAlignment="1">
      <alignment horizontal="center" vertical="center"/>
    </xf>
    <xf numFmtId="0" fontId="16" fillId="4" borderId="26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/>
    </xf>
    <xf numFmtId="0" fontId="5" fillId="2" borderId="26" xfId="0" applyFont="1" applyFill="1" applyBorder="1" applyAlignment="1">
      <alignment horizontal="center"/>
    </xf>
    <xf numFmtId="0" fontId="5" fillId="2" borderId="34" xfId="0" applyFont="1" applyFill="1" applyBorder="1" applyAlignment="1">
      <alignment horizontal="center"/>
    </xf>
    <xf numFmtId="0" fontId="20" fillId="0" borderId="29" xfId="0" applyFont="1" applyBorder="1" applyAlignment="1">
      <alignment horizontal="center" vertical="center"/>
    </xf>
    <xf numFmtId="164" fontId="5" fillId="0" borderId="1" xfId="1" applyNumberFormat="1" applyFont="1" applyBorder="1" applyAlignment="1">
      <alignment horizontal="center"/>
    </xf>
    <xf numFmtId="164" fontId="5" fillId="17" borderId="1" xfId="1" applyNumberFormat="1" applyFont="1" applyFill="1" applyBorder="1" applyAlignment="1">
      <alignment horizontal="center"/>
    </xf>
    <xf numFmtId="164" fontId="5" fillId="17" borderId="17" xfId="1" applyNumberFormat="1" applyFont="1" applyFill="1" applyBorder="1" applyAlignment="1">
      <alignment horizontal="center"/>
    </xf>
    <xf numFmtId="164" fontId="5" fillId="17" borderId="13" xfId="1" applyNumberFormat="1" applyFont="1" applyFill="1" applyBorder="1" applyAlignment="1">
      <alignment horizontal="center"/>
    </xf>
    <xf numFmtId="164" fontId="5" fillId="0" borderId="33" xfId="1" applyNumberFormat="1" applyFont="1" applyBorder="1" applyAlignment="1">
      <alignment horizontal="center"/>
    </xf>
    <xf numFmtId="164" fontId="5" fillId="0" borderId="0" xfId="1" applyNumberFormat="1" applyFont="1" applyBorder="1" applyAlignment="1">
      <alignment horizontal="center"/>
    </xf>
    <xf numFmtId="164" fontId="5" fillId="0" borderId="0" xfId="1" applyFont="1" applyBorder="1" applyAlignment="1">
      <alignment horizontal="center"/>
    </xf>
    <xf numFmtId="0" fontId="24" fillId="7" borderId="26" xfId="0" applyFont="1" applyFill="1" applyBorder="1" applyAlignment="1">
      <alignment horizontal="center" vertical="center"/>
    </xf>
    <xf numFmtId="0" fontId="22" fillId="7" borderId="26" xfId="0" applyFont="1" applyFill="1" applyBorder="1" applyAlignment="1">
      <alignment horizontal="center" vertical="center"/>
    </xf>
    <xf numFmtId="164" fontId="33" fillId="12" borderId="15" xfId="0" applyNumberFormat="1" applyFont="1" applyFill="1" applyBorder="1" applyAlignment="1">
      <alignment horizontal="center" vertical="center"/>
    </xf>
    <xf numFmtId="0" fontId="33" fillId="12" borderId="16" xfId="0" applyFont="1" applyFill="1" applyBorder="1" applyAlignment="1">
      <alignment horizontal="center" vertical="center"/>
    </xf>
    <xf numFmtId="0" fontId="16" fillId="7" borderId="25" xfId="0" applyFont="1" applyFill="1" applyBorder="1" applyAlignment="1">
      <alignment horizontal="center" vertical="center"/>
    </xf>
    <xf numFmtId="0" fontId="16" fillId="7" borderId="27" xfId="0" applyFont="1" applyFill="1" applyBorder="1" applyAlignment="1">
      <alignment horizontal="center" vertical="center"/>
    </xf>
    <xf numFmtId="164" fontId="21" fillId="13" borderId="25" xfId="0" applyNumberFormat="1" applyFont="1" applyFill="1" applyBorder="1" applyAlignment="1">
      <alignment horizontal="center" vertical="center"/>
    </xf>
    <xf numFmtId="0" fontId="21" fillId="13" borderId="27" xfId="0" applyFont="1" applyFill="1" applyBorder="1" applyAlignment="1">
      <alignment horizontal="center" vertical="center"/>
    </xf>
    <xf numFmtId="0" fontId="16" fillId="4" borderId="32" xfId="0" applyFont="1" applyFill="1" applyBorder="1" applyAlignment="1">
      <alignment horizontal="center" vertical="center"/>
    </xf>
    <xf numFmtId="0" fontId="16" fillId="4" borderId="29" xfId="0" applyFont="1" applyFill="1" applyBorder="1" applyAlignment="1">
      <alignment horizontal="center" vertical="center"/>
    </xf>
    <xf numFmtId="0" fontId="38" fillId="0" borderId="32" xfId="0" applyFont="1" applyBorder="1" applyAlignment="1">
      <alignment horizontal="center" vertical="center"/>
    </xf>
    <xf numFmtId="0" fontId="38" fillId="0" borderId="34" xfId="0" applyFont="1" applyBorder="1" applyAlignment="1">
      <alignment horizontal="center" vertical="center"/>
    </xf>
    <xf numFmtId="0" fontId="38" fillId="0" borderId="35" xfId="0" applyFont="1" applyBorder="1" applyAlignment="1">
      <alignment horizontal="center" vertical="center"/>
    </xf>
    <xf numFmtId="0" fontId="38" fillId="0" borderId="38" xfId="0" applyFont="1" applyBorder="1" applyAlignment="1">
      <alignment horizontal="center" vertical="center"/>
    </xf>
    <xf numFmtId="0" fontId="7" fillId="6" borderId="1" xfId="0" applyFont="1" applyFill="1" applyBorder="1" applyAlignment="1">
      <alignment horizontal="center"/>
    </xf>
  </cellXfs>
  <cellStyles count="7">
    <cellStyle name="Hiperlink" xfId="2" builtinId="8"/>
    <cellStyle name="Moeda" xfId="1" builtinId="4"/>
    <cellStyle name="Moeda 2" xfId="3" xr:uid="{00000000-0005-0000-0000-000002000000}"/>
    <cellStyle name="Moeda 2 2" xfId="6" xr:uid="{00000000-0005-0000-0000-000003000000}"/>
    <cellStyle name="Moeda 3" xfId="5" xr:uid="{00000000-0005-0000-0000-000004000000}"/>
    <cellStyle name="Normal" xfId="0" builtinId="0"/>
    <cellStyle name="Porcentagem" xfId="4" builtinId="5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GRAFICOS!$E$15:$E$26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GRAFICOS!$F$15:$F$26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1D-4BC6-896A-E64D537E4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642737744"/>
        <c:axId val="-642732304"/>
      </c:barChart>
      <c:catAx>
        <c:axId val="-64273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3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642732304"/>
        <c:crosses val="autoZero"/>
        <c:auto val="1"/>
        <c:lblAlgn val="ctr"/>
        <c:lblOffset val="100"/>
        <c:noMultiLvlLbl val="0"/>
      </c:catAx>
      <c:valAx>
        <c:axId val="-64273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3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64273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0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3000" baseline="0"/>
              <a:t>LUCRO MENSAL E TICKET MÉDIO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GRAFICOS!$E$71</c:f>
              <c:strCache>
                <c:ptCount val="1"/>
                <c:pt idx="0">
                  <c:v>Lucro por mês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extLst>
                <c:ext xmlns:c15="http://schemas.microsoft.com/office/drawing/2012/chart" uri="{02D57815-91ED-43cb-92C2-25804820EDAC}">
                  <c15:fullRef>
                    <c15:sqref>GRAFICOS!$D$72:$D$83</c15:sqref>
                  </c15:fullRef>
                </c:ext>
              </c:extLst>
              <c:f>GRAFICOS!$D$72:$D$81</c:f>
              <c:strCache>
                <c:ptCount val="10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GRAFICOS!$E$72:$E$83</c15:sqref>
                  </c15:fullRef>
                </c:ext>
              </c:extLst>
              <c:f>GRAFICOS!$E$72:$E$81</c:f>
              <c:numCache>
                <c:formatCode>_("R$"* #,##0.00_);_("R$"* \(#,##0.00\);_("R$"*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47-436D-B05A-420D6EC42DDD}"/>
            </c:ext>
          </c:extLst>
        </c:ser>
        <c:ser>
          <c:idx val="1"/>
          <c:order val="1"/>
          <c:tx>
            <c:strRef>
              <c:f>GRAFICOS!$F$71</c:f>
              <c:strCache>
                <c:ptCount val="1"/>
                <c:pt idx="0">
                  <c:v>ticket médio mensal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GRAFICOS!$D$72:$D$83</c15:sqref>
                  </c15:fullRef>
                </c:ext>
              </c:extLst>
              <c:f>GRAFICOS!$D$72:$D$81</c:f>
              <c:strCache>
                <c:ptCount val="10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GRAFICOS!$F$72:$F$83</c15:sqref>
                  </c15:fullRef>
                </c:ext>
              </c:extLst>
              <c:f>GRAFICOS!$F$72:$F$81</c:f>
              <c:numCache>
                <c:formatCode>_("R$"* #,##0.00_);_("R$"* \(#,##0.00\);_("R$"*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47-436D-B05A-420D6EC42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642744272"/>
        <c:axId val="-642736656"/>
      </c:barChart>
      <c:catAx>
        <c:axId val="-64274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642736656"/>
        <c:crosses val="autoZero"/>
        <c:auto val="1"/>
        <c:lblAlgn val="ctr"/>
        <c:lblOffset val="100"/>
        <c:noMultiLvlLbl val="0"/>
      </c:catAx>
      <c:valAx>
        <c:axId val="-64273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642744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RECIBOS!A1"/><Relationship Id="rId2" Type="http://schemas.openxmlformats.org/officeDocument/2006/relationships/hyperlink" Target="#CADASTRO!A1"/><Relationship Id="rId1" Type="http://schemas.openxmlformats.org/officeDocument/2006/relationships/image" Target="../media/image4.jpg"/><Relationship Id="rId6" Type="http://schemas.openxmlformats.org/officeDocument/2006/relationships/hyperlink" Target="#'OR&#199;AMENTO MODELO'!A1"/><Relationship Id="rId5" Type="http://schemas.openxmlformats.org/officeDocument/2006/relationships/hyperlink" Target="#GRAFICOS!A1"/><Relationship Id="rId4" Type="http://schemas.openxmlformats.org/officeDocument/2006/relationships/hyperlink" Target="#CAIXA!A1"/></Relationships>
</file>

<file path=xl/drawings/_rels/drawing3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13" Type="http://schemas.openxmlformats.org/officeDocument/2006/relationships/image" Target="../media/image10.png"/><Relationship Id="rId18" Type="http://schemas.openxmlformats.org/officeDocument/2006/relationships/chart" Target="../charts/chart2.xml"/><Relationship Id="rId3" Type="http://schemas.openxmlformats.org/officeDocument/2006/relationships/image" Target="../media/image6.png"/><Relationship Id="rId7" Type="http://schemas.openxmlformats.org/officeDocument/2006/relationships/image" Target="../media/image7.png"/><Relationship Id="rId12" Type="http://schemas.openxmlformats.org/officeDocument/2006/relationships/image" Target="../media/image9.png"/><Relationship Id="rId17" Type="http://schemas.openxmlformats.org/officeDocument/2006/relationships/chart" Target="../charts/chart1.xml"/><Relationship Id="rId2" Type="http://schemas.openxmlformats.org/officeDocument/2006/relationships/image" Target="../media/image4.jpg"/><Relationship Id="rId16" Type="http://schemas.openxmlformats.org/officeDocument/2006/relationships/hyperlink" Target="#'OR&#199;AMENTO MODELO'!A1"/><Relationship Id="rId1" Type="http://schemas.openxmlformats.org/officeDocument/2006/relationships/image" Target="../media/image5.png"/><Relationship Id="rId6" Type="http://schemas.openxmlformats.org/officeDocument/2006/relationships/hyperlink" Target="#RECIBOS!A1"/><Relationship Id="rId11" Type="http://schemas.microsoft.com/office/2007/relationships/hdphoto" Target="../media/hdphoto2.wdp"/><Relationship Id="rId5" Type="http://schemas.openxmlformats.org/officeDocument/2006/relationships/hyperlink" Target="#CAIXA!A1"/><Relationship Id="rId15" Type="http://schemas.openxmlformats.org/officeDocument/2006/relationships/hyperlink" Target="#MENU!A1"/><Relationship Id="rId10" Type="http://schemas.openxmlformats.org/officeDocument/2006/relationships/image" Target="../media/image8.png"/><Relationship Id="rId4" Type="http://schemas.openxmlformats.org/officeDocument/2006/relationships/hyperlink" Target="#CADASTRO!A1"/><Relationship Id="rId9" Type="http://schemas.openxmlformats.org/officeDocument/2006/relationships/hyperlink" Target="#GRAFICOS!A1"/><Relationship Id="rId1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13" Type="http://schemas.openxmlformats.org/officeDocument/2006/relationships/image" Target="../media/image12.png"/><Relationship Id="rId3" Type="http://schemas.openxmlformats.org/officeDocument/2006/relationships/image" Target="../media/image6.png"/><Relationship Id="rId7" Type="http://schemas.openxmlformats.org/officeDocument/2006/relationships/image" Target="../media/image7.png"/><Relationship Id="rId12" Type="http://schemas.openxmlformats.org/officeDocument/2006/relationships/image" Target="../media/image9.png"/><Relationship Id="rId2" Type="http://schemas.openxmlformats.org/officeDocument/2006/relationships/image" Target="../media/image4.jpg"/><Relationship Id="rId1" Type="http://schemas.openxmlformats.org/officeDocument/2006/relationships/image" Target="../media/image5.png"/><Relationship Id="rId6" Type="http://schemas.openxmlformats.org/officeDocument/2006/relationships/hyperlink" Target="#RECIBOS!A1"/><Relationship Id="rId11" Type="http://schemas.microsoft.com/office/2007/relationships/hdphoto" Target="../media/hdphoto2.wdp"/><Relationship Id="rId5" Type="http://schemas.openxmlformats.org/officeDocument/2006/relationships/hyperlink" Target="#CAIXA!A1"/><Relationship Id="rId15" Type="http://schemas.openxmlformats.org/officeDocument/2006/relationships/hyperlink" Target="#MENU!A1"/><Relationship Id="rId10" Type="http://schemas.openxmlformats.org/officeDocument/2006/relationships/image" Target="../media/image8.png"/><Relationship Id="rId4" Type="http://schemas.openxmlformats.org/officeDocument/2006/relationships/hyperlink" Target="#CADASTRO!A1"/><Relationship Id="rId9" Type="http://schemas.openxmlformats.org/officeDocument/2006/relationships/hyperlink" Target="#GRAFICOS!A1"/><Relationship Id="rId14" Type="http://schemas.openxmlformats.org/officeDocument/2006/relationships/image" Target="../media/image1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3.wdp"/><Relationship Id="rId3" Type="http://schemas.openxmlformats.org/officeDocument/2006/relationships/hyperlink" Target="#CADASTRO!A1"/><Relationship Id="rId7" Type="http://schemas.openxmlformats.org/officeDocument/2006/relationships/hyperlink" Target="#RECIBOS!A1"/><Relationship Id="rId12" Type="http://schemas.openxmlformats.org/officeDocument/2006/relationships/image" Target="../media/image17.png"/><Relationship Id="rId17" Type="http://schemas.openxmlformats.org/officeDocument/2006/relationships/hyperlink" Target="#'OR&#199;AMENTO MODELO'!A1"/><Relationship Id="rId2" Type="http://schemas.openxmlformats.org/officeDocument/2006/relationships/image" Target="../media/image4.jpg"/><Relationship Id="rId16" Type="http://schemas.openxmlformats.org/officeDocument/2006/relationships/image" Target="../media/image9.png"/><Relationship Id="rId1" Type="http://schemas.openxmlformats.org/officeDocument/2006/relationships/image" Target="../media/image5.png"/><Relationship Id="rId6" Type="http://schemas.openxmlformats.org/officeDocument/2006/relationships/hyperlink" Target="#CAIXA!A1"/><Relationship Id="rId11" Type="http://schemas.openxmlformats.org/officeDocument/2006/relationships/hyperlink" Target="#GRAFICOS!A1"/><Relationship Id="rId5" Type="http://schemas.microsoft.com/office/2007/relationships/hdphoto" Target="../media/hdphoto2.wdp"/><Relationship Id="rId15" Type="http://schemas.openxmlformats.org/officeDocument/2006/relationships/image" Target="../media/image6.png"/><Relationship Id="rId10" Type="http://schemas.openxmlformats.org/officeDocument/2006/relationships/image" Target="../media/image16.png"/><Relationship Id="rId4" Type="http://schemas.openxmlformats.org/officeDocument/2006/relationships/image" Target="../media/image14.png"/><Relationship Id="rId9" Type="http://schemas.microsoft.com/office/2007/relationships/hdphoto" Target="../media/hdphoto1.wdp"/><Relationship Id="rId14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"/><Relationship Id="rId13" Type="http://schemas.openxmlformats.org/officeDocument/2006/relationships/image" Target="../media/image11.png"/><Relationship Id="rId3" Type="http://schemas.openxmlformats.org/officeDocument/2006/relationships/image" Target="../media/image6.png"/><Relationship Id="rId7" Type="http://schemas.microsoft.com/office/2007/relationships/hdphoto" Target="../media/hdphoto1.wdp"/><Relationship Id="rId12" Type="http://schemas.openxmlformats.org/officeDocument/2006/relationships/image" Target="../media/image10.png"/><Relationship Id="rId2" Type="http://schemas.openxmlformats.org/officeDocument/2006/relationships/image" Target="../media/image4.jpg"/><Relationship Id="rId16" Type="http://schemas.openxmlformats.org/officeDocument/2006/relationships/hyperlink" Target="../TRABALHO/RECIBOS" TargetMode="External"/><Relationship Id="rId1" Type="http://schemas.openxmlformats.org/officeDocument/2006/relationships/image" Target="../media/image5.png"/><Relationship Id="rId6" Type="http://schemas.openxmlformats.org/officeDocument/2006/relationships/image" Target="../media/image7.png"/><Relationship Id="rId11" Type="http://schemas.openxmlformats.org/officeDocument/2006/relationships/image" Target="../media/image9.png"/><Relationship Id="rId5" Type="http://schemas.openxmlformats.org/officeDocument/2006/relationships/hyperlink" Target="#CAIXA!A1"/><Relationship Id="rId15" Type="http://schemas.openxmlformats.org/officeDocument/2006/relationships/hyperlink" Target="#'OR&#199;AMENTO MODELO'!A1"/><Relationship Id="rId10" Type="http://schemas.microsoft.com/office/2007/relationships/hdphoto" Target="../media/hdphoto2.wdp"/><Relationship Id="rId4" Type="http://schemas.openxmlformats.org/officeDocument/2006/relationships/hyperlink" Target="#CADASTRO!A1"/><Relationship Id="rId9" Type="http://schemas.openxmlformats.org/officeDocument/2006/relationships/image" Target="../media/image8.png"/><Relationship Id="rId14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hyperlink" Target="#'OR&#199;AMENTO MODELO'!A1"/><Relationship Id="rId3" Type="http://schemas.openxmlformats.org/officeDocument/2006/relationships/hyperlink" Target="#CADASTRO!A1"/><Relationship Id="rId7" Type="http://schemas.openxmlformats.org/officeDocument/2006/relationships/image" Target="../media/image8.png"/><Relationship Id="rId12" Type="http://schemas.openxmlformats.org/officeDocument/2006/relationships/hyperlink" Target="#MENU!A1"/><Relationship Id="rId2" Type="http://schemas.openxmlformats.org/officeDocument/2006/relationships/image" Target="../media/image6.png"/><Relationship Id="rId1" Type="http://schemas.openxmlformats.org/officeDocument/2006/relationships/image" Target="../media/image4.jpg"/><Relationship Id="rId6" Type="http://schemas.openxmlformats.org/officeDocument/2006/relationships/hyperlink" Target="#GRAFICOS!A1"/><Relationship Id="rId11" Type="http://schemas.openxmlformats.org/officeDocument/2006/relationships/image" Target="../media/image11.png"/><Relationship Id="rId5" Type="http://schemas.openxmlformats.org/officeDocument/2006/relationships/hyperlink" Target="#RECIBOS!A1"/><Relationship Id="rId10" Type="http://schemas.openxmlformats.org/officeDocument/2006/relationships/image" Target="../media/image10.png"/><Relationship Id="rId4" Type="http://schemas.openxmlformats.org/officeDocument/2006/relationships/hyperlink" Target="#CAIXA!A1"/><Relationship Id="rId9" Type="http://schemas.openxmlformats.org/officeDocument/2006/relationships/image" Target="../media/image9.png"/><Relationship Id="rId14" Type="http://schemas.openxmlformats.org/officeDocument/2006/relationships/hyperlink" Target="../TRABALHO/PEDIDOS%20FECHADOS" TargetMode="Externa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MENU!A1"/><Relationship Id="rId3" Type="http://schemas.openxmlformats.org/officeDocument/2006/relationships/hyperlink" Target="#CADASTRO!A1"/><Relationship Id="rId7" Type="http://schemas.openxmlformats.org/officeDocument/2006/relationships/hyperlink" Target="#GRAFICOS!A1"/><Relationship Id="rId12" Type="http://schemas.openxmlformats.org/officeDocument/2006/relationships/image" Target="../media/image11.png"/><Relationship Id="rId2" Type="http://schemas.openxmlformats.org/officeDocument/2006/relationships/image" Target="../media/image6.png"/><Relationship Id="rId1" Type="http://schemas.openxmlformats.org/officeDocument/2006/relationships/image" Target="../media/image4.jpg"/><Relationship Id="rId6" Type="http://schemas.microsoft.com/office/2007/relationships/hdphoto" Target="../media/hdphoto1.wdp"/><Relationship Id="rId11" Type="http://schemas.openxmlformats.org/officeDocument/2006/relationships/image" Target="../media/image10.png"/><Relationship Id="rId5" Type="http://schemas.openxmlformats.org/officeDocument/2006/relationships/image" Target="../media/image7.png"/><Relationship Id="rId15" Type="http://schemas.openxmlformats.org/officeDocument/2006/relationships/hyperlink" Target="../TRABALHO/custos" TargetMode="External"/><Relationship Id="rId10" Type="http://schemas.openxmlformats.org/officeDocument/2006/relationships/image" Target="../media/image9.png"/><Relationship Id="rId4" Type="http://schemas.openxmlformats.org/officeDocument/2006/relationships/hyperlink" Target="#CAIXA!A1"/><Relationship Id="rId9" Type="http://schemas.microsoft.com/office/2007/relationships/hdphoto" Target="../media/hdphoto2.wdp"/><Relationship Id="rId14" Type="http://schemas.openxmlformats.org/officeDocument/2006/relationships/hyperlink" Target="#'OR&#199;AMENTO MODELO'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993321</xdr:colOff>
      <xdr:row>48</xdr:row>
      <xdr:rowOff>122465</xdr:rowOff>
    </xdr:from>
    <xdr:ext cx="707483" cy="666750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2596" y="13381265"/>
          <a:ext cx="707483" cy="666750"/>
        </a:xfrm>
        <a:prstGeom prst="rect">
          <a:avLst/>
        </a:prstGeom>
      </xdr:spPr>
    </xdr:pic>
    <xdr:clientData/>
  </xdr:oneCellAnchor>
  <xdr:twoCellAnchor>
    <xdr:from>
      <xdr:col>7</xdr:col>
      <xdr:colOff>114300</xdr:colOff>
      <xdr:row>0</xdr:row>
      <xdr:rowOff>266700</xdr:rowOff>
    </xdr:from>
    <xdr:to>
      <xdr:col>9</xdr:col>
      <xdr:colOff>0</xdr:colOff>
      <xdr:row>1</xdr:row>
      <xdr:rowOff>552450</xdr:rowOff>
    </xdr:to>
    <xdr:sp macro="[0]!Macro2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134850" y="266700"/>
          <a:ext cx="2238375" cy="685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2800"/>
            <a:t>ORÇAMENTO</a:t>
          </a:r>
          <a:endParaRPr lang="pt-BR" sz="1100"/>
        </a:p>
      </xdr:txBody>
    </xdr:sp>
    <xdr:clientData/>
  </xdr:twoCellAnchor>
  <xdr:twoCellAnchor>
    <xdr:from>
      <xdr:col>7</xdr:col>
      <xdr:colOff>247650</xdr:colOff>
      <xdr:row>2</xdr:row>
      <xdr:rowOff>95250</xdr:rowOff>
    </xdr:from>
    <xdr:to>
      <xdr:col>8</xdr:col>
      <xdr:colOff>1562100</xdr:colOff>
      <xdr:row>5</xdr:row>
      <xdr:rowOff>190500</xdr:rowOff>
    </xdr:to>
    <xdr:sp macro="[0]!SALVAR_PDFx" textlink="">
      <xdr:nvSpPr>
        <xdr:cNvPr id="4" name="Elips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2268200" y="1200150"/>
          <a:ext cx="2000250" cy="1581150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4000" b="0" cap="none" spc="0">
              <a:ln w="0"/>
              <a:solidFill>
                <a:schemeClr val="tx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PDF</a:t>
          </a:r>
          <a:endParaRPr lang="pt-BR" sz="1100" b="0" cap="none" spc="0">
            <a:ln w="0"/>
            <a:solidFill>
              <a:schemeClr val="tx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</xdr:col>
      <xdr:colOff>571500</xdr:colOff>
      <xdr:row>3</xdr:row>
      <xdr:rowOff>209550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0"/>
          <a:ext cx="6572250" cy="18859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370417</xdr:colOff>
      <xdr:row>0</xdr:row>
      <xdr:rowOff>0</xdr:rowOff>
    </xdr:from>
    <xdr:to>
      <xdr:col>23</xdr:col>
      <xdr:colOff>0</xdr:colOff>
      <xdr:row>12</xdr:row>
      <xdr:rowOff>593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508750" y="0"/>
          <a:ext cx="7609417" cy="2286593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t-BR" sz="19900" b="1" cap="none" spc="0">
              <a:ln/>
              <a:solidFill>
                <a:schemeClr val="accent4"/>
              </a:solidFill>
              <a:effectLst/>
            </a:rPr>
            <a:t>MENU</a:t>
          </a:r>
          <a:endParaRPr lang="pt-BR" sz="11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oneCellAnchor>
    <xdr:from>
      <xdr:col>0</xdr:col>
      <xdr:colOff>47624</xdr:colOff>
      <xdr:row>2</xdr:row>
      <xdr:rowOff>42333</xdr:rowOff>
    </xdr:from>
    <xdr:ext cx="5148793" cy="1803136"/>
    <xdr:pic>
      <xdr:nvPicPr>
        <xdr:cNvPr id="3" name="Imagem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4" y="423333"/>
          <a:ext cx="5148793" cy="1803136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oneCellAnchor>
  <xdr:twoCellAnchor>
    <xdr:from>
      <xdr:col>0</xdr:col>
      <xdr:colOff>0</xdr:colOff>
      <xdr:row>18</xdr:row>
      <xdr:rowOff>84667</xdr:rowOff>
    </xdr:from>
    <xdr:to>
      <xdr:col>22</xdr:col>
      <xdr:colOff>601928</xdr:colOff>
      <xdr:row>25</xdr:row>
      <xdr:rowOff>38217</xdr:rowOff>
    </xdr:to>
    <xdr:sp macro="" textlink="">
      <xdr:nvSpPr>
        <xdr:cNvPr id="8" name="Rectangle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0" y="3513667"/>
          <a:ext cx="14106261" cy="1287050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t-BR" sz="4400" b="1" cap="none" spc="0">
              <a:ln/>
              <a:solidFill>
                <a:schemeClr val="accent4"/>
              </a:solidFill>
              <a:effectLst/>
            </a:rPr>
            <a:t>CADASTRO DE CLIENTES</a:t>
          </a:r>
        </a:p>
        <a:p>
          <a:pPr algn="ctr"/>
          <a:endParaRPr lang="pt-BR" sz="20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0</xdr:col>
      <xdr:colOff>30428</xdr:colOff>
      <xdr:row>11</xdr:row>
      <xdr:rowOff>181239</xdr:rowOff>
    </xdr:from>
    <xdr:to>
      <xdr:col>23</xdr:col>
      <xdr:colOff>0</xdr:colOff>
      <xdr:row>18</xdr:row>
      <xdr:rowOff>82562</xdr:rowOff>
    </xdr:to>
    <xdr:sp macro="" textlink="">
      <xdr:nvSpPr>
        <xdr:cNvPr id="9" name="Rectangl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30428" y="2276739"/>
          <a:ext cx="14087739" cy="1234823"/>
        </a:xfrm>
        <a:prstGeom prst="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t-BR" sz="4400" b="1" cap="none" spc="0">
              <a:ln/>
              <a:solidFill>
                <a:schemeClr val="accent4"/>
              </a:solidFill>
              <a:effectLst/>
            </a:rPr>
            <a:t>RECIBOS</a:t>
          </a:r>
        </a:p>
        <a:p>
          <a:pPr algn="ctr"/>
          <a:endParaRPr lang="pt-BR" sz="20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0</xdr:col>
      <xdr:colOff>11905</xdr:colOff>
      <xdr:row>25</xdr:row>
      <xdr:rowOff>24890</xdr:rowOff>
    </xdr:from>
    <xdr:to>
      <xdr:col>22</xdr:col>
      <xdr:colOff>595312</xdr:colOff>
      <xdr:row>32</xdr:row>
      <xdr:rowOff>0</xdr:rowOff>
    </xdr:to>
    <xdr:sp macro="" textlink="">
      <xdr:nvSpPr>
        <xdr:cNvPr id="10" name="Rectangle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1905" y="4787390"/>
          <a:ext cx="14087740" cy="130861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t-BR" sz="4400" b="1" cap="none" spc="0">
              <a:ln/>
              <a:solidFill>
                <a:schemeClr val="accent4"/>
              </a:solidFill>
              <a:effectLst/>
            </a:rPr>
            <a:t>CONTROLE</a:t>
          </a:r>
          <a:r>
            <a:rPr lang="pt-BR" sz="4400" b="1" cap="none" spc="0" baseline="0">
              <a:ln/>
              <a:solidFill>
                <a:schemeClr val="accent4"/>
              </a:solidFill>
              <a:effectLst/>
            </a:rPr>
            <a:t> DE CAIXA</a:t>
          </a:r>
          <a:endParaRPr lang="pt-BR" sz="4400" b="1" cap="none" spc="0">
            <a:ln/>
            <a:solidFill>
              <a:schemeClr val="accent4"/>
            </a:solidFill>
            <a:effectLst/>
          </a:endParaRPr>
        </a:p>
        <a:p>
          <a:pPr algn="ctr"/>
          <a:endParaRPr lang="pt-BR" sz="20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0</xdr:col>
      <xdr:colOff>30427</xdr:colOff>
      <xdr:row>40</xdr:row>
      <xdr:rowOff>13262</xdr:rowOff>
    </xdr:from>
    <xdr:to>
      <xdr:col>23</xdr:col>
      <xdr:colOff>0</xdr:colOff>
      <xdr:row>47</xdr:row>
      <xdr:rowOff>0</xdr:rowOff>
    </xdr:to>
    <xdr:sp macro="" textlink="">
      <xdr:nvSpPr>
        <xdr:cNvPr id="11" name="Rectangle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30427" y="7633262"/>
          <a:ext cx="14087740" cy="1320238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t-BR" sz="4400" b="1" cap="none" spc="0">
              <a:ln/>
              <a:solidFill>
                <a:schemeClr val="accent4"/>
              </a:solidFill>
              <a:effectLst/>
            </a:rPr>
            <a:t>GRAFICOS</a:t>
          </a:r>
        </a:p>
        <a:p>
          <a:pPr algn="ctr"/>
          <a:endParaRPr lang="pt-BR" sz="20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10</xdr:col>
      <xdr:colOff>370417</xdr:colOff>
      <xdr:row>11</xdr:row>
      <xdr:rowOff>169333</xdr:rowOff>
    </xdr:to>
    <xdr:sp macro="[0]!salvar_" textlink="">
      <xdr:nvSpPr>
        <xdr:cNvPr id="15" name="Rectangle 15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4910667" y="0"/>
          <a:ext cx="1598083" cy="2264833"/>
        </a:xfrm>
        <a:prstGeom prst="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t-BR" sz="3200" b="1" u="sng" cap="none" spc="0">
              <a:ln/>
              <a:solidFill>
                <a:schemeClr val="accent4"/>
              </a:solidFill>
              <a:effectLst/>
            </a:rPr>
            <a:t>SALVAR</a:t>
          </a:r>
          <a:endParaRPr lang="pt-BR" sz="1100" b="1" u="sng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0</xdr:col>
      <xdr:colOff>0</xdr:colOff>
      <xdr:row>32</xdr:row>
      <xdr:rowOff>10583</xdr:rowOff>
    </xdr:from>
    <xdr:to>
      <xdr:col>22</xdr:col>
      <xdr:colOff>583407</xdr:colOff>
      <xdr:row>40</xdr:row>
      <xdr:rowOff>10583</xdr:rowOff>
    </xdr:to>
    <xdr:sp macro="" textlink="">
      <xdr:nvSpPr>
        <xdr:cNvPr id="16" name="Rectangle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0" y="6106583"/>
          <a:ext cx="14087740" cy="152400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t-BR" sz="4400" b="1" cap="none" spc="0">
              <a:ln/>
              <a:solidFill>
                <a:schemeClr val="accent4"/>
              </a:solidFill>
              <a:effectLst/>
            </a:rPr>
            <a:t>ORÇAMENTOS</a:t>
          </a:r>
        </a:p>
        <a:p>
          <a:pPr algn="ctr"/>
          <a:endParaRPr lang="pt-BR" sz="4400" b="1" cap="none" spc="0">
            <a:ln/>
            <a:solidFill>
              <a:schemeClr val="accent4"/>
            </a:solidFill>
            <a:effectLst/>
          </a:endParaRPr>
        </a:p>
        <a:p>
          <a:pPr algn="ctr"/>
          <a:endParaRPr lang="pt-BR" sz="20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8</xdr:col>
      <xdr:colOff>0</xdr:colOff>
      <xdr:row>13</xdr:row>
      <xdr:rowOff>81580</xdr:rowOff>
    </xdr:to>
    <xdr:pic>
      <xdr:nvPicPr>
        <xdr:cNvPr id="2" name="Imagem 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679275" y="5048250"/>
          <a:ext cx="0" cy="6544292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</xdr:row>
      <xdr:rowOff>0</xdr:rowOff>
    </xdr:from>
    <xdr:to>
      <xdr:col>8</xdr:col>
      <xdr:colOff>0</xdr:colOff>
      <xdr:row>13</xdr:row>
      <xdr:rowOff>74158</xdr:rowOff>
    </xdr:to>
    <xdr:pic>
      <xdr:nvPicPr>
        <xdr:cNvPr id="3" name="Imagem 8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679275" y="5048250"/>
          <a:ext cx="0" cy="653687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</xdr:row>
      <xdr:rowOff>0</xdr:rowOff>
    </xdr:from>
    <xdr:to>
      <xdr:col>16384</xdr:col>
      <xdr:colOff>15893143</xdr:colOff>
      <xdr:row>1</xdr:row>
      <xdr:rowOff>0</xdr:rowOff>
    </xdr:to>
    <xdr:cxnSp macro="">
      <xdr:nvCxnSpPr>
        <xdr:cNvPr id="4" name="Conector reto 9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29841825" y="5048250"/>
          <a:ext cx="605518" cy="0"/>
        </a:xfrm>
        <a:prstGeom prst="line">
          <a:avLst/>
        </a:prstGeom>
        <a:ln w="76200"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</xdr:row>
      <xdr:rowOff>0</xdr:rowOff>
    </xdr:from>
    <xdr:to>
      <xdr:col>9</xdr:col>
      <xdr:colOff>0</xdr:colOff>
      <xdr:row>1</xdr:row>
      <xdr:rowOff>19843</xdr:rowOff>
    </xdr:to>
    <xdr:cxnSp macro="">
      <xdr:nvCxnSpPr>
        <xdr:cNvPr id="5" name="Conector reto 10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0" y="5048250"/>
          <a:ext cx="29841825" cy="19843"/>
        </a:xfrm>
        <a:prstGeom prst="line">
          <a:avLst/>
        </a:prstGeom>
        <a:ln w="7620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</xdr:row>
      <xdr:rowOff>1820574</xdr:rowOff>
    </xdr:from>
    <xdr:to>
      <xdr:col>9</xdr:col>
      <xdr:colOff>0</xdr:colOff>
      <xdr:row>1</xdr:row>
      <xdr:rowOff>1837892</xdr:rowOff>
    </xdr:to>
    <xdr:cxnSp macro="">
      <xdr:nvCxnSpPr>
        <xdr:cNvPr id="6" name="Conector reto 2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 flipV="1">
          <a:off x="6924675" y="6478299"/>
          <a:ext cx="22917150" cy="0"/>
        </a:xfrm>
        <a:prstGeom prst="line">
          <a:avLst/>
        </a:prstGeom>
        <a:ln w="76200">
          <a:solidFill>
            <a:schemeClr val="tx1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46462</xdr:colOff>
      <xdr:row>0</xdr:row>
      <xdr:rowOff>23812</xdr:rowOff>
    </xdr:from>
    <xdr:ext cx="24623288" cy="5024437"/>
    <xdr:pic>
      <xdr:nvPicPr>
        <xdr:cNvPr id="7" name="Imagem 3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5900" y="23812"/>
          <a:ext cx="24623288" cy="5024437"/>
        </a:xfrm>
        <a:prstGeom prst="rect">
          <a:avLst/>
        </a:prstGeom>
      </xdr:spPr>
    </xdr:pic>
    <xdr:clientData/>
  </xdr:oneCellAnchor>
  <xdr:oneCellAnchor>
    <xdr:from>
      <xdr:col>0</xdr:col>
      <xdr:colOff>4340010</xdr:colOff>
      <xdr:row>0</xdr:row>
      <xdr:rowOff>0</xdr:rowOff>
    </xdr:from>
    <xdr:ext cx="2522524" cy="2425362"/>
    <xdr:pic>
      <xdr:nvPicPr>
        <xdr:cNvPr id="8" name="Imagem 18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010" y="0"/>
          <a:ext cx="2522524" cy="2425362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1</xdr:row>
      <xdr:rowOff>1831949</xdr:rowOff>
    </xdr:from>
    <xdr:to>
      <xdr:col>0</xdr:col>
      <xdr:colOff>6900333</xdr:colOff>
      <xdr:row>4</xdr:row>
      <xdr:rowOff>204052</xdr:rowOff>
    </xdr:to>
    <xdr:sp macro="" textlink="">
      <xdr:nvSpPr>
        <xdr:cNvPr id="9" name="Rectangl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0" y="6480149"/>
          <a:ext cx="6900333" cy="1258178"/>
        </a:xfrm>
        <a:prstGeom prst="rect">
          <a:avLst/>
        </a:prstGeom>
        <a:solidFill>
          <a:schemeClr val="tx1">
            <a:lumMod val="95000"/>
            <a:lumOff val="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>
              <a:ln/>
              <a:solidFill>
                <a:schemeClr val="accent4"/>
              </a:solidFill>
              <a:effectLst/>
            </a:rPr>
            <a:t>CADASTRO DE CLIENTES</a:t>
          </a:r>
        </a:p>
        <a:p>
          <a:pPr algn="l"/>
          <a:endParaRPr lang="pt-B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0</xdr:col>
      <xdr:colOff>0</xdr:colOff>
      <xdr:row>7</xdr:row>
      <xdr:rowOff>318351</xdr:rowOff>
    </xdr:from>
    <xdr:to>
      <xdr:col>0</xdr:col>
      <xdr:colOff>6900333</xdr:colOff>
      <xdr:row>11</xdr:row>
      <xdr:rowOff>8079</xdr:rowOff>
    </xdr:to>
    <xdr:sp macro="" textlink="">
      <xdr:nvSpPr>
        <xdr:cNvPr id="10" name="Rectangle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0" y="9052776"/>
          <a:ext cx="6900333" cy="128992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>
              <a:ln/>
              <a:solidFill>
                <a:schemeClr val="accent4"/>
              </a:solidFill>
              <a:effectLst/>
            </a:rPr>
            <a:t>CAIXA</a:t>
          </a:r>
          <a:endParaRPr lang="pt-BR" sz="2800" b="1" cap="none" spc="0" baseline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0</xdr:col>
      <xdr:colOff>0</xdr:colOff>
      <xdr:row>4</xdr:row>
      <xdr:rowOff>225484</xdr:rowOff>
    </xdr:from>
    <xdr:to>
      <xdr:col>0</xdr:col>
      <xdr:colOff>6900333</xdr:colOff>
      <xdr:row>7</xdr:row>
      <xdr:rowOff>275490</xdr:rowOff>
    </xdr:to>
    <xdr:sp macro="" textlink="">
      <xdr:nvSpPr>
        <xdr:cNvPr id="11" name="Rectangle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0" y="7759759"/>
          <a:ext cx="6900333" cy="1250156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>
              <a:ln/>
              <a:solidFill>
                <a:schemeClr val="accent4"/>
              </a:solidFill>
              <a:effectLst/>
            </a:rPr>
            <a:t>RECIBOS</a:t>
          </a:r>
        </a:p>
        <a:p>
          <a:pPr algn="l"/>
          <a:endParaRPr lang="pt-B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oneCellAnchor>
    <xdr:from>
      <xdr:col>0</xdr:col>
      <xdr:colOff>5068597</xdr:colOff>
      <xdr:row>4</xdr:row>
      <xdr:rowOff>285593</xdr:rowOff>
    </xdr:from>
    <xdr:ext cx="1908058" cy="1224180"/>
    <xdr:pic>
      <xdr:nvPicPr>
        <xdr:cNvPr id="12" name="Imagem 20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8597" y="7819868"/>
          <a:ext cx="1908058" cy="1224180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11</xdr:row>
      <xdr:rowOff>39300</xdr:rowOff>
    </xdr:from>
    <xdr:to>
      <xdr:col>0</xdr:col>
      <xdr:colOff>6900333</xdr:colOff>
      <xdr:row>14</xdr:row>
      <xdr:rowOff>122031</xdr:rowOff>
    </xdr:to>
    <xdr:sp macro="" textlink="">
      <xdr:nvSpPr>
        <xdr:cNvPr id="13" name="Rectangle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0" y="10373925"/>
          <a:ext cx="6900333" cy="1282881"/>
        </a:xfrm>
        <a:prstGeom prst="rect">
          <a:avLst/>
        </a:prstGeom>
        <a:solidFill>
          <a:srgbClr val="C00000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>
              <a:ln/>
              <a:solidFill>
                <a:schemeClr val="accent4"/>
              </a:solidFill>
              <a:effectLst/>
            </a:rPr>
            <a:t>GRAFICOS</a:t>
          </a:r>
        </a:p>
        <a:p>
          <a:pPr algn="l"/>
          <a:endParaRPr lang="pt-B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 editAs="oneCell">
    <xdr:from>
      <xdr:col>0</xdr:col>
      <xdr:colOff>5229423</xdr:colOff>
      <xdr:row>2</xdr:row>
      <xdr:rowOff>56689</xdr:rowOff>
    </xdr:from>
    <xdr:to>
      <xdr:col>0</xdr:col>
      <xdr:colOff>6912465</xdr:colOff>
      <xdr:row>4</xdr:row>
      <xdr:rowOff>172301</xdr:rowOff>
    </xdr:to>
    <xdr:pic>
      <xdr:nvPicPr>
        <xdr:cNvPr id="1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9423" y="6533689"/>
          <a:ext cx="1683042" cy="1172887"/>
        </a:xfrm>
        <a:prstGeom prst="rect">
          <a:avLst/>
        </a:prstGeom>
      </xdr:spPr>
    </xdr:pic>
    <xdr:clientData/>
  </xdr:twoCellAnchor>
  <xdr:twoCellAnchor editAs="oneCell">
    <xdr:from>
      <xdr:col>0</xdr:col>
      <xdr:colOff>4936404</xdr:colOff>
      <xdr:row>0</xdr:row>
      <xdr:rowOff>2817813</xdr:rowOff>
    </xdr:from>
    <xdr:to>
      <xdr:col>1</xdr:col>
      <xdr:colOff>42907</xdr:colOff>
      <xdr:row>0</xdr:row>
      <xdr:rowOff>4583906</xdr:rowOff>
    </xdr:to>
    <xdr:pic>
      <xdr:nvPicPr>
        <xdr:cNvPr id="15" name="Imagem 8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6404" y="2817813"/>
          <a:ext cx="2031178" cy="1766093"/>
        </a:xfrm>
        <a:prstGeom prst="rect">
          <a:avLst/>
        </a:prstGeom>
      </xdr:spPr>
    </xdr:pic>
    <xdr:clientData/>
  </xdr:twoCellAnchor>
  <xdr:twoCellAnchor>
    <xdr:from>
      <xdr:col>0</xdr:col>
      <xdr:colOff>337344</xdr:colOff>
      <xdr:row>0</xdr:row>
      <xdr:rowOff>694531</xdr:rowOff>
    </xdr:from>
    <xdr:to>
      <xdr:col>0</xdr:col>
      <xdr:colOff>4048125</xdr:colOff>
      <xdr:row>0</xdr:row>
      <xdr:rowOff>2024062</xdr:rowOff>
    </xdr:to>
    <xdr:sp macro="[0]!salvar_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337344" y="694531"/>
          <a:ext cx="3710781" cy="1329531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t-BR" sz="3200" b="1" u="sng" cap="none" spc="0">
              <a:ln/>
              <a:solidFill>
                <a:schemeClr val="accent4"/>
              </a:solidFill>
              <a:effectLst/>
            </a:rPr>
            <a:t>SALVAR</a:t>
          </a:r>
          <a:endParaRPr lang="pt-BR" sz="1100" b="1" u="sng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0</xdr:col>
      <xdr:colOff>932658</xdr:colOff>
      <xdr:row>0</xdr:row>
      <xdr:rowOff>3194844</xdr:rowOff>
    </xdr:from>
    <xdr:to>
      <xdr:col>0</xdr:col>
      <xdr:colOff>3651252</xdr:colOff>
      <xdr:row>0</xdr:row>
      <xdr:rowOff>4187032</xdr:rowOff>
    </xdr:to>
    <xdr:sp macro="[0]!fechar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932658" y="3194844"/>
          <a:ext cx="2718594" cy="992188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t-BR" sz="2800" b="1" u="sng" cap="none" spc="0">
              <a:ln/>
              <a:solidFill>
                <a:schemeClr val="accent4"/>
              </a:solidFill>
              <a:effectLst/>
            </a:rPr>
            <a:t>SAIR</a:t>
          </a:r>
          <a:endParaRPr lang="pt-BR" sz="1100" b="1" u="sng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 editAs="oneCell">
    <xdr:from>
      <xdr:col>0</xdr:col>
      <xdr:colOff>5274469</xdr:colOff>
      <xdr:row>7</xdr:row>
      <xdr:rowOff>371875</xdr:rowOff>
    </xdr:from>
    <xdr:to>
      <xdr:col>0</xdr:col>
      <xdr:colOff>6563146</xdr:colOff>
      <xdr:row>10</xdr:row>
      <xdr:rowOff>354865</xdr:rowOff>
    </xdr:to>
    <xdr:pic>
      <xdr:nvPicPr>
        <xdr:cNvPr id="18" name="Imagem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74469" y="9106300"/>
          <a:ext cx="1288677" cy="1183140"/>
        </a:xfrm>
        <a:prstGeom prst="rect">
          <a:avLst/>
        </a:prstGeom>
      </xdr:spPr>
    </xdr:pic>
    <xdr:clientData/>
  </xdr:twoCellAnchor>
  <xdr:twoCellAnchor editAs="oneCell">
    <xdr:from>
      <xdr:col>0</xdr:col>
      <xdr:colOff>5370825</xdr:colOff>
      <xdr:row>11</xdr:row>
      <xdr:rowOff>39301</xdr:rowOff>
    </xdr:from>
    <xdr:to>
      <xdr:col>0</xdr:col>
      <xdr:colOff>6564721</xdr:colOff>
      <xdr:row>13</xdr:row>
      <xdr:rowOff>140553</xdr:rowOff>
    </xdr:to>
    <xdr:pic>
      <xdr:nvPicPr>
        <xdr:cNvPr id="19" name="Imagem 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0825" y="10373926"/>
          <a:ext cx="1193896" cy="127758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</xdr:row>
      <xdr:rowOff>0</xdr:rowOff>
    </xdr:from>
    <xdr:to>
      <xdr:col>0</xdr:col>
      <xdr:colOff>6900333</xdr:colOff>
      <xdr:row>1</xdr:row>
      <xdr:rowOff>1788842</xdr:rowOff>
    </xdr:to>
    <xdr:sp macro="" textlink="">
      <xdr:nvSpPr>
        <xdr:cNvPr id="20" name="Rectangle 1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0" y="5048250"/>
          <a:ext cx="6900333" cy="1426892"/>
        </a:xfrm>
        <a:prstGeom prst="rect">
          <a:avLst/>
        </a:prstGeom>
        <a:solidFill>
          <a:srgbClr val="C00000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b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t-BR" sz="5400" b="1" cap="none" spc="0">
              <a:ln/>
              <a:solidFill>
                <a:schemeClr val="accent4"/>
              </a:solidFill>
              <a:effectLst/>
            </a:rPr>
            <a:t>MENU</a:t>
          </a:r>
        </a:p>
        <a:p>
          <a:pPr algn="ctr"/>
          <a:endParaRPr lang="pt-BR" sz="28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1</xdr:col>
      <xdr:colOff>0</xdr:colOff>
      <xdr:row>0</xdr:row>
      <xdr:rowOff>47625</xdr:rowOff>
    </xdr:from>
    <xdr:to>
      <xdr:col>1</xdr:col>
      <xdr:colOff>22264</xdr:colOff>
      <xdr:row>0</xdr:row>
      <xdr:rowOff>5018049</xdr:rowOff>
    </xdr:to>
    <xdr:cxnSp macro="">
      <xdr:nvCxnSpPr>
        <xdr:cNvPr id="21" name="Conector reto 1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>
        <a:xfrm flipH="1">
          <a:off x="6924675" y="47625"/>
          <a:ext cx="22264" cy="4970424"/>
        </a:xfrm>
        <a:prstGeom prst="line">
          <a:avLst/>
        </a:prstGeom>
        <a:ln w="7620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14</xdr:row>
      <xdr:rowOff>139390</xdr:rowOff>
    </xdr:from>
    <xdr:to>
      <xdr:col>0</xdr:col>
      <xdr:colOff>6900333</xdr:colOff>
      <xdr:row>18</xdr:row>
      <xdr:rowOff>56787</xdr:rowOff>
    </xdr:to>
    <xdr:sp macro="" textlink="">
      <xdr:nvSpPr>
        <xdr:cNvPr id="22" name="Rectangle 2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11674165"/>
          <a:ext cx="6900333" cy="1517597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b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>
              <a:ln/>
              <a:solidFill>
                <a:schemeClr val="accent4"/>
              </a:solidFill>
              <a:effectLst/>
            </a:rPr>
            <a:t>ORÇAMENTOS</a:t>
          </a:r>
        </a:p>
        <a:p>
          <a:pPr algn="l"/>
          <a:endParaRPr lang="pt-BR" sz="2800" b="1" cap="none" spc="0">
            <a:ln/>
            <a:solidFill>
              <a:schemeClr val="accent4"/>
            </a:solidFill>
            <a:effectLst/>
          </a:endParaRPr>
        </a:p>
        <a:p>
          <a:pPr algn="l"/>
          <a:endParaRPr lang="pt-B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oneCellAnchor>
    <xdr:from>
      <xdr:col>2</xdr:col>
      <xdr:colOff>968375</xdr:colOff>
      <xdr:row>2</xdr:row>
      <xdr:rowOff>103188</xdr:rowOff>
    </xdr:from>
    <xdr:ext cx="18595603" cy="2252604"/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 txBox="1"/>
      </xdr:nvSpPr>
      <xdr:spPr>
        <a:xfrm>
          <a:off x="9826625" y="6580188"/>
          <a:ext cx="18595603" cy="22526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3800"/>
            <a:t>FATURAMENTO</a:t>
          </a:r>
          <a:r>
            <a:rPr lang="pt-BR" sz="13800" baseline="0"/>
            <a:t> POR MÊS</a:t>
          </a:r>
        </a:p>
      </xdr:txBody>
    </xdr:sp>
    <xdr:clientData/>
  </xdr:oneCellAnchor>
  <xdr:twoCellAnchor>
    <xdr:from>
      <xdr:col>1</xdr:col>
      <xdr:colOff>595312</xdr:colOff>
      <xdr:row>27</xdr:row>
      <xdr:rowOff>374650</xdr:rowOff>
    </xdr:from>
    <xdr:to>
      <xdr:col>9</xdr:col>
      <xdr:colOff>-1</xdr:colOff>
      <xdr:row>54</xdr:row>
      <xdr:rowOff>285749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2</xdr:col>
      <xdr:colOff>881063</xdr:colOff>
      <xdr:row>59</xdr:row>
      <xdr:rowOff>309563</xdr:rowOff>
    </xdr:from>
    <xdr:ext cx="20988310" cy="2252604"/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 txBox="1"/>
      </xdr:nvSpPr>
      <xdr:spPr>
        <a:xfrm>
          <a:off x="9739313" y="30599063"/>
          <a:ext cx="20988310" cy="22526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3800" baseline="0"/>
            <a:t>ANALISE DE LUCRO POR MÊS</a:t>
          </a:r>
        </a:p>
      </xdr:txBody>
    </xdr:sp>
    <xdr:clientData/>
  </xdr:oneCellAnchor>
  <xdr:twoCellAnchor>
    <xdr:from>
      <xdr:col>1</xdr:col>
      <xdr:colOff>1000124</xdr:colOff>
      <xdr:row>88</xdr:row>
      <xdr:rowOff>0</xdr:rowOff>
    </xdr:from>
    <xdr:to>
      <xdr:col>8</xdr:col>
      <xdr:colOff>4333875</xdr:colOff>
      <xdr:row>109</xdr:row>
      <xdr:rowOff>180975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oneCellAnchor>
    <xdr:from>
      <xdr:col>2</xdr:col>
      <xdr:colOff>381001</xdr:colOff>
      <xdr:row>118</xdr:row>
      <xdr:rowOff>380998</xdr:rowOff>
    </xdr:from>
    <xdr:ext cx="4500562" cy="1238251"/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 txBox="1"/>
      </xdr:nvSpPr>
      <xdr:spPr>
        <a:xfrm>
          <a:off x="9239251" y="54602061"/>
          <a:ext cx="4500562" cy="12382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5400" b="1">
              <a:latin typeface="Arial Narrow" panose="020B0606020202030204" pitchFamily="34" charset="0"/>
            </a:rPr>
            <a:t>SAIDAS</a:t>
          </a:r>
          <a:endParaRPr lang="pt-BR" sz="5400" b="1" baseline="0">
            <a:latin typeface="Arial Narrow" panose="020B0606020202030204" pitchFamily="34" charset="0"/>
          </a:endParaRPr>
        </a:p>
        <a:p>
          <a:pPr algn="ctr"/>
          <a:endParaRPr lang="pt-BR" sz="4800"/>
        </a:p>
      </xdr:txBody>
    </xdr:sp>
    <xdr:clientData/>
  </xdr:oneCellAnchor>
  <xdr:oneCellAnchor>
    <xdr:from>
      <xdr:col>2</xdr:col>
      <xdr:colOff>690564</xdr:colOff>
      <xdr:row>152</xdr:row>
      <xdr:rowOff>380998</xdr:rowOff>
    </xdr:from>
    <xdr:ext cx="4500562" cy="1238251"/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9548814" y="63650811"/>
          <a:ext cx="4500562" cy="12382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5400" b="1">
              <a:latin typeface="Arial Narrow" panose="020B0606020202030204" pitchFamily="34" charset="0"/>
            </a:rPr>
            <a:t>RESULTADOS</a:t>
          </a:r>
          <a:endParaRPr lang="pt-BR" sz="5400" b="1" baseline="0">
            <a:latin typeface="Arial Narrow" panose="020B0606020202030204" pitchFamily="34" charset="0"/>
          </a:endParaRPr>
        </a:p>
        <a:p>
          <a:pPr algn="ctr"/>
          <a:endParaRPr lang="pt-BR" sz="4800"/>
        </a:p>
      </xdr:txBody>
    </xdr:sp>
    <xdr:clientData/>
  </xdr:oneCellAnchor>
  <xdr:oneCellAnchor>
    <xdr:from>
      <xdr:col>2</xdr:col>
      <xdr:colOff>476251</xdr:colOff>
      <xdr:row>143</xdr:row>
      <xdr:rowOff>71436</xdr:rowOff>
    </xdr:from>
    <xdr:ext cx="4500562" cy="1238251"/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 txBox="1"/>
      </xdr:nvSpPr>
      <xdr:spPr>
        <a:xfrm>
          <a:off x="9334501" y="58816874"/>
          <a:ext cx="4500562" cy="12382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5400" b="1">
              <a:latin typeface="Arial Narrow" panose="020B0606020202030204" pitchFamily="34" charset="0"/>
            </a:rPr>
            <a:t>ENTRADAS</a:t>
          </a:r>
          <a:endParaRPr lang="pt-BR" sz="5400" b="1" baseline="0">
            <a:latin typeface="Arial Narrow" panose="020B0606020202030204" pitchFamily="34" charset="0"/>
          </a:endParaRPr>
        </a:p>
        <a:p>
          <a:pPr algn="ctr"/>
          <a:endParaRPr lang="pt-BR" sz="4800"/>
        </a:p>
      </xdr:txBody>
    </xdr:sp>
    <xdr:clientData/>
  </xdr:oneCellAnchor>
  <xdr:oneCellAnchor>
    <xdr:from>
      <xdr:col>5</xdr:col>
      <xdr:colOff>309562</xdr:colOff>
      <xdr:row>134</xdr:row>
      <xdr:rowOff>47624</xdr:rowOff>
    </xdr:from>
    <xdr:ext cx="6487673" cy="593304"/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 txBox="1"/>
      </xdr:nvSpPr>
      <xdr:spPr>
        <a:xfrm>
          <a:off x="18192750" y="60888562"/>
          <a:ext cx="6487673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3200" b="1"/>
            <a:t>* SALARIO ,</a:t>
          </a:r>
          <a:r>
            <a:rPr lang="pt-BR" sz="3200" b="1" baseline="0"/>
            <a:t> ESCITÓRIO E IMPOSTOS</a:t>
          </a:r>
          <a:endParaRPr lang="pt-BR" sz="1100" b="1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8</xdr:col>
      <xdr:colOff>0</xdr:colOff>
      <xdr:row>1</xdr:row>
      <xdr:rowOff>158825</xdr:rowOff>
    </xdr:to>
    <xdr:pic>
      <xdr:nvPicPr>
        <xdr:cNvPr id="2" name="Imagem 6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679275" y="5048250"/>
          <a:ext cx="0" cy="6544292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</xdr:row>
      <xdr:rowOff>0</xdr:rowOff>
    </xdr:from>
    <xdr:to>
      <xdr:col>8</xdr:col>
      <xdr:colOff>0</xdr:colOff>
      <xdr:row>1</xdr:row>
      <xdr:rowOff>160928</xdr:rowOff>
    </xdr:to>
    <xdr:pic>
      <xdr:nvPicPr>
        <xdr:cNvPr id="3" name="Imagem 8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679275" y="5048250"/>
          <a:ext cx="0" cy="653687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</xdr:row>
      <xdr:rowOff>0</xdr:rowOff>
    </xdr:from>
    <xdr:to>
      <xdr:col>16384</xdr:col>
      <xdr:colOff>15893143</xdr:colOff>
      <xdr:row>1</xdr:row>
      <xdr:rowOff>0</xdr:rowOff>
    </xdr:to>
    <xdr:cxnSp macro="">
      <xdr:nvCxnSpPr>
        <xdr:cNvPr id="4" name="Conector reto 9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29841825" y="5048250"/>
          <a:ext cx="605518" cy="0"/>
        </a:xfrm>
        <a:prstGeom prst="line">
          <a:avLst/>
        </a:prstGeom>
        <a:ln w="76200"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</xdr:row>
      <xdr:rowOff>0</xdr:rowOff>
    </xdr:from>
    <xdr:to>
      <xdr:col>9</xdr:col>
      <xdr:colOff>0</xdr:colOff>
      <xdr:row>1</xdr:row>
      <xdr:rowOff>19843</xdr:rowOff>
    </xdr:to>
    <xdr:cxnSp macro="">
      <xdr:nvCxnSpPr>
        <xdr:cNvPr id="5" name="Conector reto 10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0" y="5048250"/>
          <a:ext cx="29841825" cy="19843"/>
        </a:xfrm>
        <a:prstGeom prst="line">
          <a:avLst/>
        </a:prstGeom>
        <a:ln w="7620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</xdr:col>
      <xdr:colOff>46463</xdr:colOff>
      <xdr:row>0</xdr:row>
      <xdr:rowOff>24393</xdr:rowOff>
    </xdr:from>
    <xdr:ext cx="22860000" cy="4976812"/>
    <xdr:pic>
      <xdr:nvPicPr>
        <xdr:cNvPr id="7" name="Imagem 3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9512" y="24393"/>
          <a:ext cx="22860000" cy="4976812"/>
        </a:xfrm>
        <a:prstGeom prst="rect">
          <a:avLst/>
        </a:prstGeom>
      </xdr:spPr>
    </xdr:pic>
    <xdr:clientData/>
  </xdr:oneCellAnchor>
  <xdr:oneCellAnchor>
    <xdr:from>
      <xdr:col>0</xdr:col>
      <xdr:colOff>4340010</xdr:colOff>
      <xdr:row>0</xdr:row>
      <xdr:rowOff>0</xdr:rowOff>
    </xdr:from>
    <xdr:ext cx="2522524" cy="2425362"/>
    <xdr:pic>
      <xdr:nvPicPr>
        <xdr:cNvPr id="8" name="Imagem 18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010" y="0"/>
          <a:ext cx="2522524" cy="2425362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1</xdr:row>
      <xdr:rowOff>1431899</xdr:rowOff>
    </xdr:from>
    <xdr:to>
      <xdr:col>0</xdr:col>
      <xdr:colOff>6900333</xdr:colOff>
      <xdr:row>4</xdr:row>
      <xdr:rowOff>204052</xdr:rowOff>
    </xdr:to>
    <xdr:sp macro="" textlink="">
      <xdr:nvSpPr>
        <xdr:cNvPr id="9" name="Rectangl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0" y="6473179"/>
          <a:ext cx="6900333" cy="1257946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>
              <a:ln/>
              <a:solidFill>
                <a:schemeClr val="accent4"/>
              </a:solidFill>
              <a:effectLst/>
            </a:rPr>
            <a:t>CADASTRO DE CLIENTES</a:t>
          </a:r>
        </a:p>
        <a:p>
          <a:pPr algn="l"/>
          <a:endParaRPr lang="pt-B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0</xdr:col>
      <xdr:colOff>0</xdr:colOff>
      <xdr:row>7</xdr:row>
      <xdr:rowOff>318351</xdr:rowOff>
    </xdr:from>
    <xdr:to>
      <xdr:col>0</xdr:col>
      <xdr:colOff>6900333</xdr:colOff>
      <xdr:row>11</xdr:row>
      <xdr:rowOff>8079</xdr:rowOff>
    </xdr:to>
    <xdr:sp macro="" textlink="">
      <xdr:nvSpPr>
        <xdr:cNvPr id="10" name="Rectangle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0" y="9030241"/>
          <a:ext cx="6900333" cy="1269484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>
              <a:ln/>
              <a:solidFill>
                <a:schemeClr val="accent4"/>
              </a:solidFill>
              <a:effectLst/>
            </a:rPr>
            <a:t>CAIXA</a:t>
          </a:r>
          <a:r>
            <a:rPr lang="pt-BR" sz="2800" b="1" cap="none" spc="0" baseline="0">
              <a:ln/>
              <a:solidFill>
                <a:schemeClr val="accent4"/>
              </a:solidFill>
              <a:effectLst/>
            </a:rPr>
            <a:t> BRUTO</a:t>
          </a:r>
          <a:endParaRPr lang="pt-BR" sz="2800" b="1" cap="none" spc="0">
            <a:ln/>
            <a:solidFill>
              <a:schemeClr val="accent4"/>
            </a:solidFill>
            <a:effectLst/>
          </a:endParaRPr>
        </a:p>
        <a:p>
          <a:pPr algn="l"/>
          <a:endParaRPr lang="pt-B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0</xdr:col>
      <xdr:colOff>0</xdr:colOff>
      <xdr:row>4</xdr:row>
      <xdr:rowOff>225484</xdr:rowOff>
    </xdr:from>
    <xdr:to>
      <xdr:col>0</xdr:col>
      <xdr:colOff>6900333</xdr:colOff>
      <xdr:row>7</xdr:row>
      <xdr:rowOff>275490</xdr:rowOff>
    </xdr:to>
    <xdr:sp macro="" textlink="">
      <xdr:nvSpPr>
        <xdr:cNvPr id="11" name="Rectangle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0" y="7752557"/>
          <a:ext cx="6900333" cy="1234823"/>
        </a:xfrm>
        <a:prstGeom prst="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>
              <a:ln/>
              <a:solidFill>
                <a:schemeClr val="accent4"/>
              </a:solidFill>
              <a:effectLst/>
            </a:rPr>
            <a:t>RECIBOS</a:t>
          </a:r>
        </a:p>
        <a:p>
          <a:pPr algn="l"/>
          <a:endParaRPr lang="pt-B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oneCellAnchor>
    <xdr:from>
      <xdr:col>0</xdr:col>
      <xdr:colOff>5068597</xdr:colOff>
      <xdr:row>4</xdr:row>
      <xdr:rowOff>285593</xdr:rowOff>
    </xdr:from>
    <xdr:ext cx="1908058" cy="1224180"/>
    <xdr:pic>
      <xdr:nvPicPr>
        <xdr:cNvPr id="12" name="Imagem 20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8597" y="7819868"/>
          <a:ext cx="1908058" cy="1224180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11</xdr:row>
      <xdr:rowOff>39299</xdr:rowOff>
    </xdr:from>
    <xdr:to>
      <xdr:col>0</xdr:col>
      <xdr:colOff>6900333</xdr:colOff>
      <xdr:row>14</xdr:row>
      <xdr:rowOff>351636</xdr:rowOff>
    </xdr:to>
    <xdr:sp macro="" textlink="">
      <xdr:nvSpPr>
        <xdr:cNvPr id="13" name="Rectangle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0" y="10330945"/>
          <a:ext cx="6900333" cy="1497154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>
              <a:ln/>
              <a:solidFill>
                <a:schemeClr val="accent4"/>
              </a:solidFill>
              <a:effectLst/>
            </a:rPr>
            <a:t>GRAFICOS</a:t>
          </a:r>
        </a:p>
        <a:p>
          <a:pPr algn="l"/>
          <a:endParaRPr lang="pt-B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 editAs="oneCell">
    <xdr:from>
      <xdr:col>0</xdr:col>
      <xdr:colOff>5066801</xdr:colOff>
      <xdr:row>2</xdr:row>
      <xdr:rowOff>162622</xdr:rowOff>
    </xdr:from>
    <xdr:to>
      <xdr:col>0</xdr:col>
      <xdr:colOff>6749843</xdr:colOff>
      <xdr:row>4</xdr:row>
      <xdr:rowOff>92927</xdr:rowOff>
    </xdr:to>
    <xdr:pic>
      <xdr:nvPicPr>
        <xdr:cNvPr id="1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6801" y="6644268"/>
          <a:ext cx="1683042" cy="975732"/>
        </a:xfrm>
        <a:prstGeom prst="rect">
          <a:avLst/>
        </a:prstGeom>
      </xdr:spPr>
    </xdr:pic>
    <xdr:clientData/>
  </xdr:twoCellAnchor>
  <xdr:twoCellAnchor editAs="oneCell">
    <xdr:from>
      <xdr:col>0</xdr:col>
      <xdr:colOff>4936404</xdr:colOff>
      <xdr:row>0</xdr:row>
      <xdr:rowOff>2817813</xdr:rowOff>
    </xdr:from>
    <xdr:to>
      <xdr:col>1</xdr:col>
      <xdr:colOff>42907</xdr:colOff>
      <xdr:row>0</xdr:row>
      <xdr:rowOff>4583906</xdr:rowOff>
    </xdr:to>
    <xdr:pic>
      <xdr:nvPicPr>
        <xdr:cNvPr id="15" name="Imagem 8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6404" y="2817813"/>
          <a:ext cx="2031178" cy="1766093"/>
        </a:xfrm>
        <a:prstGeom prst="rect">
          <a:avLst/>
        </a:prstGeom>
      </xdr:spPr>
    </xdr:pic>
    <xdr:clientData/>
  </xdr:twoCellAnchor>
  <xdr:twoCellAnchor>
    <xdr:from>
      <xdr:col>0</xdr:col>
      <xdr:colOff>337344</xdr:colOff>
      <xdr:row>0</xdr:row>
      <xdr:rowOff>694531</xdr:rowOff>
    </xdr:from>
    <xdr:to>
      <xdr:col>0</xdr:col>
      <xdr:colOff>4048125</xdr:colOff>
      <xdr:row>0</xdr:row>
      <xdr:rowOff>2024062</xdr:rowOff>
    </xdr:to>
    <xdr:sp macro="[0]!salvar_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337344" y="694531"/>
          <a:ext cx="3710781" cy="1329531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t-BR" sz="3200" b="1" u="sng" cap="none" spc="0">
              <a:ln/>
              <a:solidFill>
                <a:schemeClr val="accent4"/>
              </a:solidFill>
              <a:effectLst/>
            </a:rPr>
            <a:t>SALVAR</a:t>
          </a:r>
          <a:endParaRPr lang="pt-BR" sz="1100" b="1" u="sng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0</xdr:col>
      <xdr:colOff>932658</xdr:colOff>
      <xdr:row>0</xdr:row>
      <xdr:rowOff>3194844</xdr:rowOff>
    </xdr:from>
    <xdr:to>
      <xdr:col>0</xdr:col>
      <xdr:colOff>3651252</xdr:colOff>
      <xdr:row>0</xdr:row>
      <xdr:rowOff>4187032</xdr:rowOff>
    </xdr:to>
    <xdr:sp macro="[0]!fechar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932658" y="3194844"/>
          <a:ext cx="2718594" cy="992188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t-BR" sz="2800" b="1" u="sng" cap="none" spc="0">
              <a:ln/>
              <a:solidFill>
                <a:schemeClr val="accent4"/>
              </a:solidFill>
              <a:effectLst/>
            </a:rPr>
            <a:t>SAIR</a:t>
          </a:r>
          <a:endParaRPr lang="pt-BR" sz="1100" b="1" u="sng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 editAs="oneCell">
    <xdr:from>
      <xdr:col>0</xdr:col>
      <xdr:colOff>5274469</xdr:colOff>
      <xdr:row>8</xdr:row>
      <xdr:rowOff>116326</xdr:rowOff>
    </xdr:from>
    <xdr:to>
      <xdr:col>0</xdr:col>
      <xdr:colOff>6563146</xdr:colOff>
      <xdr:row>10</xdr:row>
      <xdr:rowOff>278780</xdr:rowOff>
    </xdr:to>
    <xdr:pic>
      <xdr:nvPicPr>
        <xdr:cNvPr id="18" name="Imagem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74469" y="9223155"/>
          <a:ext cx="1288677" cy="975564"/>
        </a:xfrm>
        <a:prstGeom prst="rect">
          <a:avLst/>
        </a:prstGeom>
      </xdr:spPr>
    </xdr:pic>
    <xdr:clientData/>
  </xdr:twoCellAnchor>
  <xdr:twoCellAnchor editAs="oneCell">
    <xdr:from>
      <xdr:col>0</xdr:col>
      <xdr:colOff>5301130</xdr:colOff>
      <xdr:row>11</xdr:row>
      <xdr:rowOff>239556</xdr:rowOff>
    </xdr:from>
    <xdr:to>
      <xdr:col>0</xdr:col>
      <xdr:colOff>6495026</xdr:colOff>
      <xdr:row>14</xdr:row>
      <xdr:rowOff>46465</xdr:rowOff>
    </xdr:to>
    <xdr:pic>
      <xdr:nvPicPr>
        <xdr:cNvPr id="19" name="Imagem 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1130" y="10531202"/>
          <a:ext cx="1193896" cy="101495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</xdr:row>
      <xdr:rowOff>0</xdr:rowOff>
    </xdr:from>
    <xdr:to>
      <xdr:col>0</xdr:col>
      <xdr:colOff>6900333</xdr:colOff>
      <xdr:row>1</xdr:row>
      <xdr:rowOff>1426892</xdr:rowOff>
    </xdr:to>
    <xdr:sp macro="" textlink="">
      <xdr:nvSpPr>
        <xdr:cNvPr id="20" name="Rectangle 1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0" y="5041280"/>
          <a:ext cx="6900333" cy="1426892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t-BR" sz="5400" b="1" cap="none" spc="0">
              <a:ln/>
              <a:solidFill>
                <a:schemeClr val="accent4"/>
              </a:solidFill>
              <a:effectLst/>
            </a:rPr>
            <a:t>MENU</a:t>
          </a:r>
        </a:p>
        <a:p>
          <a:pPr algn="ctr"/>
          <a:endParaRPr lang="pt-BR" sz="28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1</xdr:col>
      <xdr:colOff>0</xdr:colOff>
      <xdr:row>0</xdr:row>
      <xdr:rowOff>47625</xdr:rowOff>
    </xdr:from>
    <xdr:to>
      <xdr:col>1</xdr:col>
      <xdr:colOff>22264</xdr:colOff>
      <xdr:row>0</xdr:row>
      <xdr:rowOff>5018049</xdr:rowOff>
    </xdr:to>
    <xdr:cxnSp macro="">
      <xdr:nvCxnSpPr>
        <xdr:cNvPr id="21" name="Conector reto 1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6924675" y="47625"/>
          <a:ext cx="22264" cy="4970424"/>
        </a:xfrm>
        <a:prstGeom prst="line">
          <a:avLst/>
        </a:prstGeom>
        <a:ln w="7620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</xdr:row>
      <xdr:rowOff>46464</xdr:rowOff>
    </xdr:from>
    <xdr:to>
      <xdr:col>9</xdr:col>
      <xdr:colOff>0</xdr:colOff>
      <xdr:row>8</xdr:row>
      <xdr:rowOff>278781</xdr:rowOff>
    </xdr:to>
    <xdr:sp macro="[0]!abrir" textlink="">
      <xdr:nvSpPr>
        <xdr:cNvPr id="22" name="Round Diagonal Corner Rectangl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6923049" y="5087744"/>
          <a:ext cx="22906463" cy="4297866"/>
        </a:xfrm>
        <a:prstGeom prst="round2DiagRect">
          <a:avLst/>
        </a:prstGeom>
        <a:solidFill>
          <a:schemeClr val="accent6">
            <a:lumMod val="5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t-BR" sz="8800" b="1" cap="none" spc="0">
              <a:ln/>
              <a:solidFill>
                <a:schemeClr val="accent4"/>
              </a:solidFill>
              <a:effectLst/>
            </a:rPr>
            <a:t>CRIAR ORÇAMENTO</a:t>
          </a:r>
        </a:p>
        <a:p>
          <a:pPr algn="ctr"/>
          <a:endParaRPr lang="pt-BR" sz="88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0</xdr:col>
      <xdr:colOff>0</xdr:colOff>
      <xdr:row>18</xdr:row>
      <xdr:rowOff>325243</xdr:rowOff>
    </xdr:from>
    <xdr:to>
      <xdr:col>9</xdr:col>
      <xdr:colOff>0</xdr:colOff>
      <xdr:row>18</xdr:row>
      <xdr:rowOff>348475</xdr:rowOff>
    </xdr:to>
    <xdr:cxnSp macro="">
      <xdr:nvCxnSpPr>
        <xdr:cNvPr id="24" name="Conector reto 10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>
          <a:off x="0" y="13381463"/>
          <a:ext cx="29829512" cy="23232"/>
        </a:xfrm>
        <a:prstGeom prst="line">
          <a:avLst/>
        </a:prstGeom>
        <a:ln w="7620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6876586</xdr:colOff>
      <xdr:row>8</xdr:row>
      <xdr:rowOff>302012</xdr:rowOff>
    </xdr:from>
    <xdr:to>
      <xdr:col>8</xdr:col>
      <xdr:colOff>5134208</xdr:colOff>
      <xdr:row>8</xdr:row>
      <xdr:rowOff>325245</xdr:rowOff>
    </xdr:to>
    <xdr:cxnSp macro="">
      <xdr:nvCxnSpPr>
        <xdr:cNvPr id="26" name="Conector reto 10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6876586" y="9408841"/>
          <a:ext cx="22929695" cy="23233"/>
        </a:xfrm>
        <a:prstGeom prst="line">
          <a:avLst/>
        </a:prstGeom>
        <a:ln w="7620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15</xdr:row>
      <xdr:rowOff>0</xdr:rowOff>
    </xdr:from>
    <xdr:to>
      <xdr:col>0</xdr:col>
      <xdr:colOff>6900333</xdr:colOff>
      <xdr:row>18</xdr:row>
      <xdr:rowOff>312336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0" y="11871402"/>
          <a:ext cx="6900333" cy="1497154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b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>
              <a:ln/>
              <a:solidFill>
                <a:schemeClr val="accent4"/>
              </a:solidFill>
              <a:effectLst/>
            </a:rPr>
            <a:t>ORÇAMENTOS</a:t>
          </a:r>
        </a:p>
        <a:p>
          <a:pPr algn="l"/>
          <a:endParaRPr lang="pt-BR" sz="2800" b="1" cap="none" spc="0">
            <a:ln/>
            <a:solidFill>
              <a:schemeClr val="accent4"/>
            </a:solidFill>
            <a:effectLst/>
          </a:endParaRPr>
        </a:p>
        <a:p>
          <a:pPr algn="l"/>
          <a:endParaRPr lang="pt-B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8</xdr:col>
      <xdr:colOff>0</xdr:colOff>
      <xdr:row>12</xdr:row>
      <xdr:rowOff>336547</xdr:rowOff>
    </xdr:to>
    <xdr:pic>
      <xdr:nvPicPr>
        <xdr:cNvPr id="2" name="Imagem 6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93350" y="5048250"/>
          <a:ext cx="0" cy="6529791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</xdr:row>
      <xdr:rowOff>0</xdr:rowOff>
    </xdr:from>
    <xdr:to>
      <xdr:col>8</xdr:col>
      <xdr:colOff>0</xdr:colOff>
      <xdr:row>12</xdr:row>
      <xdr:rowOff>329125</xdr:rowOff>
    </xdr:to>
    <xdr:pic>
      <xdr:nvPicPr>
        <xdr:cNvPr id="3" name="Imagem 8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93350" y="5048250"/>
          <a:ext cx="0" cy="652236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</xdr:row>
      <xdr:rowOff>0</xdr:rowOff>
    </xdr:from>
    <xdr:to>
      <xdr:col>16384</xdr:col>
      <xdr:colOff>15893143</xdr:colOff>
      <xdr:row>1</xdr:row>
      <xdr:rowOff>0</xdr:rowOff>
    </xdr:to>
    <xdr:cxnSp macro="">
      <xdr:nvCxnSpPr>
        <xdr:cNvPr id="4" name="Conector reto 9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28155900" y="5048250"/>
          <a:ext cx="605518" cy="0"/>
        </a:xfrm>
        <a:prstGeom prst="line">
          <a:avLst/>
        </a:prstGeom>
        <a:ln w="76200"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</xdr:row>
      <xdr:rowOff>0</xdr:rowOff>
    </xdr:from>
    <xdr:to>
      <xdr:col>10</xdr:col>
      <xdr:colOff>51955</xdr:colOff>
      <xdr:row>2</xdr:row>
      <xdr:rowOff>17318</xdr:rowOff>
    </xdr:to>
    <xdr:cxnSp macro="">
      <xdr:nvCxnSpPr>
        <xdr:cNvPr id="5" name="Conector reto 10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6924675" y="6896100"/>
          <a:ext cx="21231225" cy="17318"/>
        </a:xfrm>
        <a:prstGeom prst="line">
          <a:avLst/>
        </a:prstGeom>
        <a:ln w="76200"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3</xdr:row>
      <xdr:rowOff>0</xdr:rowOff>
    </xdr:from>
    <xdr:to>
      <xdr:col>10</xdr:col>
      <xdr:colOff>63500</xdr:colOff>
      <xdr:row>3</xdr:row>
      <xdr:rowOff>51955</xdr:rowOff>
    </xdr:to>
    <xdr:cxnSp macro="">
      <xdr:nvCxnSpPr>
        <xdr:cNvPr id="6" name="Conector reto 21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 flipV="1">
          <a:off x="6921500" y="7556500"/>
          <a:ext cx="27114500" cy="51955"/>
        </a:xfrm>
        <a:prstGeom prst="line">
          <a:avLst/>
        </a:prstGeom>
        <a:ln w="76200"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6905624</xdr:colOff>
      <xdr:row>0</xdr:row>
      <xdr:rowOff>47625</xdr:rowOff>
    </xdr:from>
    <xdr:ext cx="35622214" cy="4976812"/>
    <xdr:pic>
      <xdr:nvPicPr>
        <xdr:cNvPr id="7" name="Imagem 3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05624" y="47625"/>
          <a:ext cx="35622214" cy="4976812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1</xdr:row>
      <xdr:rowOff>1848791</xdr:rowOff>
    </xdr:from>
    <xdr:to>
      <xdr:col>0</xdr:col>
      <xdr:colOff>6900333</xdr:colOff>
      <xdr:row>4</xdr:row>
      <xdr:rowOff>154102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0" y="6897041"/>
          <a:ext cx="6900333" cy="1329499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>
              <a:ln/>
              <a:solidFill>
                <a:schemeClr val="accent4"/>
              </a:solidFill>
              <a:effectLst/>
            </a:rPr>
            <a:t>CADASTRO DE CLIENTES</a:t>
          </a:r>
        </a:p>
        <a:p>
          <a:pPr algn="l"/>
          <a:endParaRPr lang="pt-B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 editAs="oneCell">
    <xdr:from>
      <xdr:col>0</xdr:col>
      <xdr:colOff>5327198</xdr:colOff>
      <xdr:row>2</xdr:row>
      <xdr:rowOff>148416</xdr:rowOff>
    </xdr:from>
    <xdr:to>
      <xdr:col>0</xdr:col>
      <xdr:colOff>6709696</xdr:colOff>
      <xdr:row>3</xdr:row>
      <xdr:rowOff>473635</xdr:rowOff>
    </xdr:to>
    <xdr:pic>
      <xdr:nvPicPr>
        <xdr:cNvPr id="13" name="Imagem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3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7198" y="7054041"/>
          <a:ext cx="1382498" cy="99196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389788</xdr:rowOff>
    </xdr:from>
    <xdr:to>
      <xdr:col>0</xdr:col>
      <xdr:colOff>6900333</xdr:colOff>
      <xdr:row>11</xdr:row>
      <xdr:rowOff>69642</xdr:rowOff>
    </xdr:to>
    <xdr:sp macro="" textlink="">
      <xdr:nvSpPr>
        <xdr:cNvPr id="14" name="Rectangle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0" y="9676663"/>
          <a:ext cx="6900333" cy="1299104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>
              <a:ln/>
              <a:solidFill>
                <a:schemeClr val="accent4"/>
              </a:solidFill>
              <a:effectLst/>
            </a:rPr>
            <a:t>CONTROLE</a:t>
          </a:r>
          <a:r>
            <a:rPr lang="pt-BR" sz="2800" b="1" cap="none" spc="0" baseline="0">
              <a:ln/>
              <a:solidFill>
                <a:schemeClr val="accent4"/>
              </a:solidFill>
              <a:effectLst/>
            </a:rPr>
            <a:t> DE CAIXA</a:t>
          </a:r>
          <a:endParaRPr lang="pt-BR" sz="2800" b="1" cap="none" spc="0">
            <a:ln/>
            <a:solidFill>
              <a:schemeClr val="accent4"/>
            </a:solidFill>
            <a:effectLst/>
          </a:endParaRPr>
        </a:p>
        <a:p>
          <a:pPr algn="l"/>
          <a:endParaRPr lang="pt-B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0</xdr:col>
      <xdr:colOff>0</xdr:colOff>
      <xdr:row>4</xdr:row>
      <xdr:rowOff>175533</xdr:rowOff>
    </xdr:from>
    <xdr:to>
      <xdr:col>0</xdr:col>
      <xdr:colOff>6900333</xdr:colOff>
      <xdr:row>7</xdr:row>
      <xdr:rowOff>323114</xdr:rowOff>
    </xdr:to>
    <xdr:sp macro="" textlink="">
      <xdr:nvSpPr>
        <xdr:cNvPr id="15" name="Rectangle 1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0" y="8247971"/>
          <a:ext cx="6900333" cy="1362018"/>
        </a:xfrm>
        <a:prstGeom prst="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>
              <a:ln/>
              <a:solidFill>
                <a:schemeClr val="accent4"/>
              </a:solidFill>
              <a:effectLst/>
            </a:rPr>
            <a:t>RECIBOS</a:t>
          </a:r>
        </a:p>
        <a:p>
          <a:pPr algn="l"/>
          <a:endParaRPr lang="pt-B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oneCellAnchor>
    <xdr:from>
      <xdr:col>0</xdr:col>
      <xdr:colOff>5068597</xdr:colOff>
      <xdr:row>4</xdr:row>
      <xdr:rowOff>260617</xdr:rowOff>
    </xdr:from>
    <xdr:ext cx="1908058" cy="1224180"/>
    <xdr:pic>
      <xdr:nvPicPr>
        <xdr:cNvPr id="16" name="Imagem 20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8597" y="8333055"/>
          <a:ext cx="1908058" cy="1224180"/>
        </a:xfrm>
        <a:prstGeom prst="rect">
          <a:avLst/>
        </a:prstGeom>
      </xdr:spPr>
    </xdr:pic>
    <xdr:clientData/>
  </xdr:oneCellAnchor>
  <xdr:oneCellAnchor>
    <xdr:from>
      <xdr:col>0</xdr:col>
      <xdr:colOff>5188241</xdr:colOff>
      <xdr:row>7</xdr:row>
      <xdr:rowOff>402197</xdr:rowOff>
    </xdr:from>
    <xdr:ext cx="1260978" cy="1148388"/>
    <xdr:pic>
      <xdr:nvPicPr>
        <xdr:cNvPr id="18" name="Imagem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8241" y="9689072"/>
          <a:ext cx="1260978" cy="1148388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11</xdr:row>
      <xdr:rowOff>110737</xdr:rowOff>
    </xdr:from>
    <xdr:to>
      <xdr:col>0</xdr:col>
      <xdr:colOff>6900333</xdr:colOff>
      <xdr:row>14</xdr:row>
      <xdr:rowOff>193467</xdr:rowOff>
    </xdr:to>
    <xdr:sp macro="" textlink="">
      <xdr:nvSpPr>
        <xdr:cNvPr id="19" name="Rectangle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0" y="11016862"/>
          <a:ext cx="6900333" cy="1297168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>
              <a:ln/>
              <a:solidFill>
                <a:schemeClr val="accent4"/>
              </a:solidFill>
              <a:effectLst/>
            </a:rPr>
            <a:t>GRAFICOS</a:t>
          </a:r>
        </a:p>
        <a:p>
          <a:pPr algn="l"/>
          <a:endParaRPr lang="pt-B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oneCellAnchor>
    <xdr:from>
      <xdr:col>0</xdr:col>
      <xdr:colOff>5256457</xdr:colOff>
      <xdr:row>11</xdr:row>
      <xdr:rowOff>157352</xdr:rowOff>
    </xdr:from>
    <xdr:ext cx="1243064" cy="1163856"/>
    <xdr:pic>
      <xdr:nvPicPr>
        <xdr:cNvPr id="21" name="Imagem 1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6457" y="11063477"/>
          <a:ext cx="1243064" cy="1163856"/>
        </a:xfrm>
        <a:prstGeom prst="rect">
          <a:avLst/>
        </a:prstGeom>
      </xdr:spPr>
    </xdr:pic>
    <xdr:clientData/>
  </xdr:oneCellAnchor>
  <xdr:twoCellAnchor>
    <xdr:from>
      <xdr:col>0</xdr:col>
      <xdr:colOff>285750</xdr:colOff>
      <xdr:row>1</xdr:row>
      <xdr:rowOff>0</xdr:rowOff>
    </xdr:from>
    <xdr:to>
      <xdr:col>10</xdr:col>
      <xdr:colOff>0</xdr:colOff>
      <xdr:row>1</xdr:row>
      <xdr:rowOff>39690</xdr:rowOff>
    </xdr:to>
    <xdr:cxnSp macro="">
      <xdr:nvCxnSpPr>
        <xdr:cNvPr id="24" name="Conector reto 10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CxnSpPr/>
      </xdr:nvCxnSpPr>
      <xdr:spPr>
        <a:xfrm flipV="1">
          <a:off x="285750" y="5045676"/>
          <a:ext cx="42319318" cy="39690"/>
        </a:xfrm>
        <a:prstGeom prst="line">
          <a:avLst/>
        </a:prstGeom>
        <a:ln w="7620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</xdr:colOff>
      <xdr:row>1</xdr:row>
      <xdr:rowOff>1809750</xdr:rowOff>
    </xdr:from>
    <xdr:to>
      <xdr:col>10</xdr:col>
      <xdr:colOff>31750</xdr:colOff>
      <xdr:row>2</xdr:row>
      <xdr:rowOff>0</xdr:rowOff>
    </xdr:to>
    <xdr:cxnSp macro="">
      <xdr:nvCxnSpPr>
        <xdr:cNvPr id="25" name="Conector reto 21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/>
      </xdr:nvCxnSpPr>
      <xdr:spPr>
        <a:xfrm flipV="1">
          <a:off x="6945312" y="6858000"/>
          <a:ext cx="27058938" cy="31750"/>
        </a:xfrm>
        <a:prstGeom prst="line">
          <a:avLst/>
        </a:prstGeom>
        <a:ln w="76200">
          <a:solidFill>
            <a:schemeClr val="tx1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23813</xdr:colOff>
      <xdr:row>1</xdr:row>
      <xdr:rowOff>71438</xdr:rowOff>
    </xdr:from>
    <xdr:to>
      <xdr:col>0</xdr:col>
      <xdr:colOff>6924146</xdr:colOff>
      <xdr:row>2</xdr:row>
      <xdr:rowOff>0</xdr:rowOff>
    </xdr:to>
    <xdr:sp macro="" textlink="">
      <xdr:nvSpPr>
        <xdr:cNvPr id="29" name="Rectangle 2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>
          <a:off x="23813" y="5119688"/>
          <a:ext cx="6900333" cy="1785937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t-BR" sz="5400" b="1" cap="none" spc="0">
              <a:ln/>
              <a:solidFill>
                <a:schemeClr val="accent4"/>
              </a:solidFill>
              <a:effectLst/>
            </a:rPr>
            <a:t>MENU</a:t>
          </a:r>
        </a:p>
        <a:p>
          <a:pPr algn="ctr"/>
          <a:endParaRPr lang="pt-BR" sz="28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oneCellAnchor>
    <xdr:from>
      <xdr:col>0</xdr:col>
      <xdr:colOff>4002666</xdr:colOff>
      <xdr:row>0</xdr:row>
      <xdr:rowOff>0</xdr:rowOff>
    </xdr:from>
    <xdr:ext cx="2522524" cy="2425362"/>
    <xdr:pic>
      <xdr:nvPicPr>
        <xdr:cNvPr id="30" name="Imagem 18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2666" y="0"/>
          <a:ext cx="2522524" cy="2425362"/>
        </a:xfrm>
        <a:prstGeom prst="rect">
          <a:avLst/>
        </a:prstGeom>
      </xdr:spPr>
    </xdr:pic>
    <xdr:clientData/>
  </xdr:oneCellAnchor>
  <xdr:twoCellAnchor editAs="oneCell">
    <xdr:from>
      <xdr:col>0</xdr:col>
      <xdr:colOff>4599060</xdr:colOff>
      <xdr:row>0</xdr:row>
      <xdr:rowOff>2817813</xdr:rowOff>
    </xdr:from>
    <xdr:to>
      <xdr:col>0</xdr:col>
      <xdr:colOff>6628612</xdr:colOff>
      <xdr:row>0</xdr:row>
      <xdr:rowOff>4583906</xdr:rowOff>
    </xdr:to>
    <xdr:pic>
      <xdr:nvPicPr>
        <xdr:cNvPr id="31" name="Imagem 8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9060" y="2817813"/>
          <a:ext cx="2029552" cy="1766093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0</xdr:row>
      <xdr:rowOff>694531</xdr:rowOff>
    </xdr:from>
    <xdr:to>
      <xdr:col>0</xdr:col>
      <xdr:colOff>3806031</xdr:colOff>
      <xdr:row>0</xdr:row>
      <xdr:rowOff>2024062</xdr:rowOff>
    </xdr:to>
    <xdr:sp macro="[0]!salvar_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95250" y="694531"/>
          <a:ext cx="3710781" cy="1329531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t-BR" sz="3200" b="1" u="none" cap="none" spc="0">
              <a:ln/>
              <a:solidFill>
                <a:schemeClr val="accent4"/>
              </a:solidFill>
              <a:effectLst/>
            </a:rPr>
            <a:t>SALVAR</a:t>
          </a:r>
          <a:endParaRPr lang="pt-BR" sz="1100" b="1" u="none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0</xdr:col>
      <xdr:colOff>595314</xdr:colOff>
      <xdr:row>0</xdr:row>
      <xdr:rowOff>3194844</xdr:rowOff>
    </xdr:from>
    <xdr:to>
      <xdr:col>0</xdr:col>
      <xdr:colOff>3313908</xdr:colOff>
      <xdr:row>0</xdr:row>
      <xdr:rowOff>4187032</xdr:rowOff>
    </xdr:to>
    <xdr:sp macro="[0]!fechar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>
        <a:xfrm>
          <a:off x="595314" y="3194844"/>
          <a:ext cx="2718594" cy="992188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t-BR" sz="2800" b="1" u="sng" cap="none" spc="0">
              <a:ln/>
              <a:solidFill>
                <a:schemeClr val="accent4"/>
              </a:solidFill>
              <a:effectLst/>
            </a:rPr>
            <a:t>SAIR</a:t>
          </a:r>
          <a:endParaRPr lang="pt-BR" sz="1100" b="1" u="sng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0</xdr:col>
      <xdr:colOff>6905625</xdr:colOff>
      <xdr:row>0</xdr:row>
      <xdr:rowOff>23812</xdr:rowOff>
    </xdr:from>
    <xdr:to>
      <xdr:col>0</xdr:col>
      <xdr:colOff>6905626</xdr:colOff>
      <xdr:row>1</xdr:row>
      <xdr:rowOff>95249</xdr:rowOff>
    </xdr:to>
    <xdr:cxnSp macro="">
      <xdr:nvCxnSpPr>
        <xdr:cNvPr id="34" name="Conector reto 1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CxnSpPr/>
      </xdr:nvCxnSpPr>
      <xdr:spPr>
        <a:xfrm>
          <a:off x="6905625" y="23812"/>
          <a:ext cx="1" cy="5119687"/>
        </a:xfrm>
        <a:prstGeom prst="line">
          <a:avLst/>
        </a:prstGeom>
        <a:ln w="7620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14</xdr:row>
      <xdr:rowOff>238124</xdr:rowOff>
    </xdr:from>
    <xdr:to>
      <xdr:col>0</xdr:col>
      <xdr:colOff>6900333</xdr:colOff>
      <xdr:row>18</xdr:row>
      <xdr:rowOff>116028</xdr:rowOff>
    </xdr:to>
    <xdr:sp macro="" textlink="">
      <xdr:nvSpPr>
        <xdr:cNvPr id="42" name="Rectangle 4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/>
      </xdr:nvSpPr>
      <xdr:spPr>
        <a:xfrm>
          <a:off x="0" y="12358687"/>
          <a:ext cx="6900333" cy="1497154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b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>
              <a:ln/>
              <a:solidFill>
                <a:schemeClr val="accent4"/>
              </a:solidFill>
              <a:effectLst/>
            </a:rPr>
            <a:t>ORÇAMENTOS</a:t>
          </a:r>
        </a:p>
        <a:p>
          <a:pPr algn="l"/>
          <a:endParaRPr lang="pt-BR" sz="2800" b="1" cap="none" spc="0">
            <a:ln/>
            <a:solidFill>
              <a:schemeClr val="accent4"/>
            </a:solidFill>
            <a:effectLst/>
          </a:endParaRPr>
        </a:p>
        <a:p>
          <a:pPr algn="l"/>
          <a:endParaRPr lang="pt-B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8</xdr:col>
      <xdr:colOff>0</xdr:colOff>
      <xdr:row>14</xdr:row>
      <xdr:rowOff>57767</xdr:rowOff>
    </xdr:to>
    <xdr:pic>
      <xdr:nvPicPr>
        <xdr:cNvPr id="2" name="Imagem 6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27025" y="5048250"/>
          <a:ext cx="0" cy="654011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</xdr:row>
      <xdr:rowOff>185854</xdr:rowOff>
    </xdr:from>
    <xdr:to>
      <xdr:col>8</xdr:col>
      <xdr:colOff>0</xdr:colOff>
      <xdr:row>14</xdr:row>
      <xdr:rowOff>236199</xdr:rowOff>
    </xdr:to>
    <xdr:pic>
      <xdr:nvPicPr>
        <xdr:cNvPr id="3" name="Imagem 8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503232" y="5227134"/>
          <a:ext cx="0" cy="6485528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</xdr:row>
      <xdr:rowOff>0</xdr:rowOff>
    </xdr:from>
    <xdr:to>
      <xdr:col>16384</xdr:col>
      <xdr:colOff>15893143</xdr:colOff>
      <xdr:row>1</xdr:row>
      <xdr:rowOff>0</xdr:rowOff>
    </xdr:to>
    <xdr:cxnSp macro="">
      <xdr:nvCxnSpPr>
        <xdr:cNvPr id="4" name="Conector reto 9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CxnSpPr/>
      </xdr:nvCxnSpPr>
      <xdr:spPr>
        <a:xfrm>
          <a:off x="30889575" y="5048250"/>
          <a:ext cx="605518" cy="0"/>
        </a:xfrm>
        <a:prstGeom prst="line">
          <a:avLst/>
        </a:prstGeom>
        <a:ln w="76200"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</xdr:row>
      <xdr:rowOff>0</xdr:rowOff>
    </xdr:from>
    <xdr:to>
      <xdr:col>9</xdr:col>
      <xdr:colOff>0</xdr:colOff>
      <xdr:row>1</xdr:row>
      <xdr:rowOff>19843</xdr:rowOff>
    </xdr:to>
    <xdr:cxnSp macro="">
      <xdr:nvCxnSpPr>
        <xdr:cNvPr id="5" name="Conector reto 10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CxnSpPr/>
      </xdr:nvCxnSpPr>
      <xdr:spPr>
        <a:xfrm>
          <a:off x="0" y="5048250"/>
          <a:ext cx="30889575" cy="19843"/>
        </a:xfrm>
        <a:prstGeom prst="line">
          <a:avLst/>
        </a:prstGeom>
        <a:ln w="7620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</xdr:row>
      <xdr:rowOff>1820574</xdr:rowOff>
    </xdr:from>
    <xdr:to>
      <xdr:col>9</xdr:col>
      <xdr:colOff>0</xdr:colOff>
      <xdr:row>1</xdr:row>
      <xdr:rowOff>1837892</xdr:rowOff>
    </xdr:to>
    <xdr:cxnSp macro="">
      <xdr:nvCxnSpPr>
        <xdr:cNvPr id="6" name="Conector reto 21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CxnSpPr/>
      </xdr:nvCxnSpPr>
      <xdr:spPr>
        <a:xfrm flipV="1">
          <a:off x="6924675" y="6868824"/>
          <a:ext cx="23964900" cy="17318"/>
        </a:xfrm>
        <a:prstGeom prst="line">
          <a:avLst/>
        </a:prstGeom>
        <a:ln w="76200">
          <a:solidFill>
            <a:schemeClr val="tx1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19843</xdr:colOff>
      <xdr:row>0</xdr:row>
      <xdr:rowOff>47625</xdr:rowOff>
    </xdr:from>
    <xdr:ext cx="29995523" cy="4976812"/>
    <xdr:pic>
      <xdr:nvPicPr>
        <xdr:cNvPr id="7" name="Imagem 3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9281" y="47625"/>
          <a:ext cx="29995523" cy="4976812"/>
        </a:xfrm>
        <a:prstGeom prst="rect">
          <a:avLst/>
        </a:prstGeom>
      </xdr:spPr>
    </xdr:pic>
    <xdr:clientData/>
  </xdr:oneCellAnchor>
  <xdr:oneCellAnchor>
    <xdr:from>
      <xdr:col>0</xdr:col>
      <xdr:colOff>4340010</xdr:colOff>
      <xdr:row>0</xdr:row>
      <xdr:rowOff>0</xdr:rowOff>
    </xdr:from>
    <xdr:ext cx="2522524" cy="2425362"/>
    <xdr:pic>
      <xdr:nvPicPr>
        <xdr:cNvPr id="8" name="Imagem 1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010" y="0"/>
          <a:ext cx="2522524" cy="2425362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1</xdr:row>
      <xdr:rowOff>1831949</xdr:rowOff>
    </xdr:from>
    <xdr:to>
      <xdr:col>0</xdr:col>
      <xdr:colOff>6900333</xdr:colOff>
      <xdr:row>4</xdr:row>
      <xdr:rowOff>204052</xdr:rowOff>
    </xdr:to>
    <xdr:sp macro="" textlink="">
      <xdr:nvSpPr>
        <xdr:cNvPr id="9" name="Rectangl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0" y="6880199"/>
          <a:ext cx="6900333" cy="1277228"/>
        </a:xfrm>
        <a:prstGeom prst="rect">
          <a:avLst/>
        </a:prstGeom>
        <a:solidFill>
          <a:schemeClr val="tx1">
            <a:lumMod val="95000"/>
            <a:lumOff val="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>
              <a:ln/>
              <a:solidFill>
                <a:schemeClr val="accent4"/>
              </a:solidFill>
              <a:effectLst/>
            </a:rPr>
            <a:t>CADASTRO DE CLIENTES</a:t>
          </a:r>
        </a:p>
        <a:p>
          <a:pPr algn="l"/>
          <a:endParaRPr lang="pt-B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0</xdr:col>
      <xdr:colOff>0</xdr:colOff>
      <xdr:row>7</xdr:row>
      <xdr:rowOff>318351</xdr:rowOff>
    </xdr:from>
    <xdr:to>
      <xdr:col>0</xdr:col>
      <xdr:colOff>6900333</xdr:colOff>
      <xdr:row>11</xdr:row>
      <xdr:rowOff>8079</xdr:rowOff>
    </xdr:to>
    <xdr:sp macro="" textlink="">
      <xdr:nvSpPr>
        <xdr:cNvPr id="10" name="Rectangle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0" y="9471876"/>
          <a:ext cx="6900333" cy="128992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>
              <a:ln/>
              <a:solidFill>
                <a:schemeClr val="accent4"/>
              </a:solidFill>
              <a:effectLst/>
            </a:rPr>
            <a:t>CONTROLE</a:t>
          </a:r>
          <a:r>
            <a:rPr lang="pt-BR" sz="2800" b="1" cap="none" spc="0" baseline="0">
              <a:ln/>
              <a:solidFill>
                <a:schemeClr val="accent4"/>
              </a:solidFill>
              <a:effectLst/>
            </a:rPr>
            <a:t> DE CAIXA</a:t>
          </a:r>
          <a:endParaRPr lang="pt-BR" sz="2800" b="1" cap="none" spc="0">
            <a:ln/>
            <a:solidFill>
              <a:schemeClr val="accent4"/>
            </a:solidFill>
            <a:effectLst/>
          </a:endParaRPr>
        </a:p>
        <a:p>
          <a:pPr algn="l"/>
          <a:endParaRPr lang="pt-B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0</xdr:col>
      <xdr:colOff>0</xdr:colOff>
      <xdr:row>4</xdr:row>
      <xdr:rowOff>225484</xdr:rowOff>
    </xdr:from>
    <xdr:to>
      <xdr:col>0</xdr:col>
      <xdr:colOff>6900333</xdr:colOff>
      <xdr:row>7</xdr:row>
      <xdr:rowOff>275490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0" y="8178859"/>
          <a:ext cx="6900333" cy="1250156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>
              <a:ln/>
              <a:solidFill>
                <a:schemeClr val="accent4"/>
              </a:solidFill>
              <a:effectLst/>
            </a:rPr>
            <a:t>RECIBOS</a:t>
          </a:r>
        </a:p>
        <a:p>
          <a:pPr algn="l"/>
          <a:endParaRPr lang="pt-B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oneCellAnchor>
    <xdr:from>
      <xdr:col>0</xdr:col>
      <xdr:colOff>5068597</xdr:colOff>
      <xdr:row>4</xdr:row>
      <xdr:rowOff>285593</xdr:rowOff>
    </xdr:from>
    <xdr:ext cx="1908058" cy="1224180"/>
    <xdr:pic>
      <xdr:nvPicPr>
        <xdr:cNvPr id="12" name="Imagem 20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8597" y="8238968"/>
          <a:ext cx="1908058" cy="1224180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11</xdr:row>
      <xdr:rowOff>39300</xdr:rowOff>
    </xdr:from>
    <xdr:to>
      <xdr:col>0</xdr:col>
      <xdr:colOff>6900333</xdr:colOff>
      <xdr:row>14</xdr:row>
      <xdr:rowOff>122031</xdr:rowOff>
    </xdr:to>
    <xdr:sp macro="" textlink="">
      <xdr:nvSpPr>
        <xdr:cNvPr id="13" name="Rectangle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0" y="10793025"/>
          <a:ext cx="6900333" cy="1282881"/>
        </a:xfrm>
        <a:prstGeom prst="rect">
          <a:avLst/>
        </a:prstGeom>
        <a:solidFill>
          <a:srgbClr val="C00000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>
              <a:ln/>
              <a:solidFill>
                <a:schemeClr val="accent4"/>
              </a:solidFill>
              <a:effectLst/>
            </a:rPr>
            <a:t>GRAFICOS</a:t>
          </a:r>
        </a:p>
        <a:p>
          <a:pPr algn="l"/>
          <a:endParaRPr lang="pt-B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 editAs="oneCell">
    <xdr:from>
      <xdr:col>0</xdr:col>
      <xdr:colOff>5229423</xdr:colOff>
      <xdr:row>2</xdr:row>
      <xdr:rowOff>56689</xdr:rowOff>
    </xdr:from>
    <xdr:to>
      <xdr:col>0</xdr:col>
      <xdr:colOff>6912465</xdr:colOff>
      <xdr:row>4</xdr:row>
      <xdr:rowOff>172301</xdr:rowOff>
    </xdr:to>
    <xdr:pic>
      <xdr:nvPicPr>
        <xdr:cNvPr id="1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9423" y="6952789"/>
          <a:ext cx="1683042" cy="1172887"/>
        </a:xfrm>
        <a:prstGeom prst="rect">
          <a:avLst/>
        </a:prstGeom>
      </xdr:spPr>
    </xdr:pic>
    <xdr:clientData/>
  </xdr:twoCellAnchor>
  <xdr:twoCellAnchor editAs="oneCell">
    <xdr:from>
      <xdr:col>0</xdr:col>
      <xdr:colOff>4936404</xdr:colOff>
      <xdr:row>0</xdr:row>
      <xdr:rowOff>2817813</xdr:rowOff>
    </xdr:from>
    <xdr:to>
      <xdr:col>1</xdr:col>
      <xdr:colOff>42907</xdr:colOff>
      <xdr:row>0</xdr:row>
      <xdr:rowOff>4583906</xdr:rowOff>
    </xdr:to>
    <xdr:pic>
      <xdr:nvPicPr>
        <xdr:cNvPr id="15" name="Imagem 8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6404" y="2817813"/>
          <a:ext cx="2031178" cy="1766093"/>
        </a:xfrm>
        <a:prstGeom prst="rect">
          <a:avLst/>
        </a:prstGeom>
      </xdr:spPr>
    </xdr:pic>
    <xdr:clientData/>
  </xdr:twoCellAnchor>
  <xdr:twoCellAnchor>
    <xdr:from>
      <xdr:col>0</xdr:col>
      <xdr:colOff>337344</xdr:colOff>
      <xdr:row>0</xdr:row>
      <xdr:rowOff>694531</xdr:rowOff>
    </xdr:from>
    <xdr:to>
      <xdr:col>0</xdr:col>
      <xdr:colOff>4048125</xdr:colOff>
      <xdr:row>0</xdr:row>
      <xdr:rowOff>2024062</xdr:rowOff>
    </xdr:to>
    <xdr:sp macro="[0]!salvar_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37344" y="694531"/>
          <a:ext cx="3710781" cy="1329531"/>
        </a:xfrm>
        <a:prstGeom prst="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t-BR" sz="3200" b="1" u="sng" cap="none" spc="0">
              <a:ln/>
              <a:solidFill>
                <a:schemeClr val="accent4"/>
              </a:solidFill>
              <a:effectLst/>
            </a:rPr>
            <a:t>SALVAR</a:t>
          </a:r>
          <a:endParaRPr lang="pt-BR" sz="1100" b="1" u="sng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0</xdr:col>
      <xdr:colOff>932658</xdr:colOff>
      <xdr:row>0</xdr:row>
      <xdr:rowOff>3194844</xdr:rowOff>
    </xdr:from>
    <xdr:to>
      <xdr:col>0</xdr:col>
      <xdr:colOff>3651252</xdr:colOff>
      <xdr:row>0</xdr:row>
      <xdr:rowOff>4187032</xdr:rowOff>
    </xdr:to>
    <xdr:sp macro="[0]!fechar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932658" y="3194844"/>
          <a:ext cx="2718594" cy="992188"/>
        </a:xfrm>
        <a:prstGeom prst="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t-BR" sz="2800" b="1" u="sng" cap="none" spc="0">
              <a:ln/>
              <a:solidFill>
                <a:schemeClr val="accent4"/>
              </a:solidFill>
              <a:effectLst/>
            </a:rPr>
            <a:t>SAIR</a:t>
          </a:r>
          <a:endParaRPr lang="pt-BR" sz="1100" b="1" u="sng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 editAs="oneCell">
    <xdr:from>
      <xdr:col>0</xdr:col>
      <xdr:colOff>5274469</xdr:colOff>
      <xdr:row>7</xdr:row>
      <xdr:rowOff>371875</xdr:rowOff>
    </xdr:from>
    <xdr:to>
      <xdr:col>0</xdr:col>
      <xdr:colOff>6563146</xdr:colOff>
      <xdr:row>10</xdr:row>
      <xdr:rowOff>354865</xdr:rowOff>
    </xdr:to>
    <xdr:pic>
      <xdr:nvPicPr>
        <xdr:cNvPr id="18" name="Imagem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74469" y="9525400"/>
          <a:ext cx="1288677" cy="1183140"/>
        </a:xfrm>
        <a:prstGeom prst="rect">
          <a:avLst/>
        </a:prstGeom>
      </xdr:spPr>
    </xdr:pic>
    <xdr:clientData/>
  </xdr:twoCellAnchor>
  <xdr:twoCellAnchor editAs="oneCell">
    <xdr:from>
      <xdr:col>0</xdr:col>
      <xdr:colOff>5370825</xdr:colOff>
      <xdr:row>11</xdr:row>
      <xdr:rowOff>39301</xdr:rowOff>
    </xdr:from>
    <xdr:to>
      <xdr:col>0</xdr:col>
      <xdr:colOff>6564721</xdr:colOff>
      <xdr:row>14</xdr:row>
      <xdr:rowOff>116740</xdr:rowOff>
    </xdr:to>
    <xdr:pic>
      <xdr:nvPicPr>
        <xdr:cNvPr id="19" name="Imagem 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0825" y="10793026"/>
          <a:ext cx="1193896" cy="127758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</xdr:row>
      <xdr:rowOff>0</xdr:rowOff>
    </xdr:from>
    <xdr:to>
      <xdr:col>0</xdr:col>
      <xdr:colOff>6900333</xdr:colOff>
      <xdr:row>1</xdr:row>
      <xdr:rowOff>1788842</xdr:rowOff>
    </xdr:to>
    <xdr:sp macro="" textlink="">
      <xdr:nvSpPr>
        <xdr:cNvPr id="20" name="Rectangle 1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0" y="5048250"/>
          <a:ext cx="6900333" cy="1788842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b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t-BR" sz="5400" b="1" cap="none" spc="0">
              <a:ln/>
              <a:solidFill>
                <a:schemeClr val="accent4"/>
              </a:solidFill>
              <a:effectLst/>
            </a:rPr>
            <a:t>MENU</a:t>
          </a:r>
        </a:p>
        <a:p>
          <a:pPr algn="ctr"/>
          <a:endParaRPr lang="pt-BR" sz="28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1</xdr:col>
      <xdr:colOff>0</xdr:colOff>
      <xdr:row>0</xdr:row>
      <xdr:rowOff>47625</xdr:rowOff>
    </xdr:from>
    <xdr:to>
      <xdr:col>1</xdr:col>
      <xdr:colOff>22264</xdr:colOff>
      <xdr:row>0</xdr:row>
      <xdr:rowOff>5018049</xdr:rowOff>
    </xdr:to>
    <xdr:cxnSp macro="">
      <xdr:nvCxnSpPr>
        <xdr:cNvPr id="21" name="Conector reto 1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CxnSpPr/>
      </xdr:nvCxnSpPr>
      <xdr:spPr>
        <a:xfrm flipH="1">
          <a:off x="6924675" y="47625"/>
          <a:ext cx="22264" cy="4970424"/>
        </a:xfrm>
        <a:prstGeom prst="line">
          <a:avLst/>
        </a:prstGeom>
        <a:ln w="7620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14</xdr:row>
      <xdr:rowOff>139390</xdr:rowOff>
    </xdr:from>
    <xdr:to>
      <xdr:col>0</xdr:col>
      <xdr:colOff>6900333</xdr:colOff>
      <xdr:row>18</xdr:row>
      <xdr:rowOff>56787</xdr:rowOff>
    </xdr:to>
    <xdr:sp macro="" textlink="">
      <xdr:nvSpPr>
        <xdr:cNvPr id="22" name="Rectangle 2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11615853"/>
          <a:ext cx="6900333" cy="1497154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b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>
              <a:ln/>
              <a:solidFill>
                <a:schemeClr val="accent4"/>
              </a:solidFill>
              <a:effectLst/>
            </a:rPr>
            <a:t>ORÇAMENTOS</a:t>
          </a:r>
        </a:p>
        <a:p>
          <a:pPr algn="l"/>
          <a:endParaRPr lang="pt-BR" sz="2800" b="1" cap="none" spc="0">
            <a:ln/>
            <a:solidFill>
              <a:schemeClr val="accent4"/>
            </a:solidFill>
            <a:effectLst/>
          </a:endParaRPr>
        </a:p>
        <a:p>
          <a:pPr algn="l"/>
          <a:endParaRPr lang="pt-B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1</xdr:col>
      <xdr:colOff>70857</xdr:colOff>
      <xdr:row>0</xdr:row>
      <xdr:rowOff>3743790</xdr:rowOff>
    </xdr:from>
    <xdr:to>
      <xdr:col>3</xdr:col>
      <xdr:colOff>2809874</xdr:colOff>
      <xdr:row>0</xdr:row>
      <xdr:rowOff>5000625</xdr:rowOff>
    </xdr:to>
    <xdr:sp macro="" textlink="">
      <xdr:nvSpPr>
        <xdr:cNvPr id="24" name="Retângulo Arredondad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7000295" y="3743790"/>
          <a:ext cx="9978017" cy="1256835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 b="1"/>
            <a:t>ABRIR</a:t>
          </a:r>
          <a:r>
            <a:rPr lang="pt-BR" sz="3600" b="1" baseline="0"/>
            <a:t> PASTA COM OS RECIBOS ENUMERADOS</a:t>
          </a:r>
        </a:p>
        <a:p>
          <a:pPr algn="ctr"/>
          <a:endParaRPr lang="pt-BR" sz="36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16383</xdr:col>
      <xdr:colOff>15893143</xdr:colOff>
      <xdr:row>1</xdr:row>
      <xdr:rowOff>0</xdr:rowOff>
    </xdr:to>
    <xdr:cxnSp macro="">
      <xdr:nvCxnSpPr>
        <xdr:cNvPr id="4" name="Conector reto 9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30889575" y="5048250"/>
          <a:ext cx="605518" cy="0"/>
        </a:xfrm>
        <a:prstGeom prst="line">
          <a:avLst/>
        </a:prstGeom>
        <a:ln w="76200"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23812</xdr:colOff>
      <xdr:row>1</xdr:row>
      <xdr:rowOff>23813</xdr:rowOff>
    </xdr:from>
    <xdr:to>
      <xdr:col>11</xdr:col>
      <xdr:colOff>23812</xdr:colOff>
      <xdr:row>1</xdr:row>
      <xdr:rowOff>71438</xdr:rowOff>
    </xdr:to>
    <xdr:cxnSp macro="">
      <xdr:nvCxnSpPr>
        <xdr:cNvPr id="5" name="Conector reto 10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 flipV="1">
          <a:off x="23812" y="5072063"/>
          <a:ext cx="43957875" cy="47625"/>
        </a:xfrm>
        <a:prstGeom prst="line">
          <a:avLst/>
        </a:prstGeom>
        <a:ln w="7620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0</xdr:row>
      <xdr:rowOff>5003317</xdr:rowOff>
    </xdr:from>
    <xdr:to>
      <xdr:col>9</xdr:col>
      <xdr:colOff>0</xdr:colOff>
      <xdr:row>0</xdr:row>
      <xdr:rowOff>5020635</xdr:rowOff>
    </xdr:to>
    <xdr:cxnSp macro="">
      <xdr:nvCxnSpPr>
        <xdr:cNvPr id="6" name="Conector reto 21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CxnSpPr/>
      </xdr:nvCxnSpPr>
      <xdr:spPr>
        <a:xfrm flipV="1">
          <a:off x="6923049" y="5003317"/>
          <a:ext cx="22883231" cy="17318"/>
        </a:xfrm>
        <a:prstGeom prst="line">
          <a:avLst/>
        </a:prstGeom>
        <a:ln w="76200">
          <a:solidFill>
            <a:schemeClr val="tx1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19843</xdr:colOff>
      <xdr:row>0</xdr:row>
      <xdr:rowOff>47625</xdr:rowOff>
    </xdr:from>
    <xdr:ext cx="33770093" cy="4976812"/>
    <xdr:pic>
      <xdr:nvPicPr>
        <xdr:cNvPr id="7" name="Imagem 3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9281" y="47625"/>
          <a:ext cx="33770093" cy="4976812"/>
        </a:xfrm>
        <a:prstGeom prst="rect">
          <a:avLst/>
        </a:prstGeom>
      </xdr:spPr>
    </xdr:pic>
    <xdr:clientData/>
  </xdr:oneCellAnchor>
  <xdr:oneCellAnchor>
    <xdr:from>
      <xdr:col>0</xdr:col>
      <xdr:colOff>4340010</xdr:colOff>
      <xdr:row>0</xdr:row>
      <xdr:rowOff>0</xdr:rowOff>
    </xdr:from>
    <xdr:ext cx="2522524" cy="2425362"/>
    <xdr:pic>
      <xdr:nvPicPr>
        <xdr:cNvPr id="9" name="Imagem 1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010" y="0"/>
          <a:ext cx="2522524" cy="2425362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1</xdr:row>
      <xdr:rowOff>1811233</xdr:rowOff>
    </xdr:from>
    <xdr:to>
      <xdr:col>0</xdr:col>
      <xdr:colOff>6900333</xdr:colOff>
      <xdr:row>3</xdr:row>
      <xdr:rowOff>46464</xdr:rowOff>
    </xdr:to>
    <xdr:sp macro="" textlink="">
      <xdr:nvSpPr>
        <xdr:cNvPr id="10" name="Rectangle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0" y="6852513"/>
          <a:ext cx="6900333" cy="1580597"/>
        </a:xfrm>
        <a:prstGeom prst="rect">
          <a:avLst/>
        </a:prstGeom>
        <a:solidFill>
          <a:schemeClr val="tx1">
            <a:lumMod val="95000"/>
            <a:lumOff val="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>
              <a:ln/>
              <a:solidFill>
                <a:schemeClr val="accent4"/>
              </a:solidFill>
              <a:effectLst/>
            </a:rPr>
            <a:t>CADASTRO DE CLIENTES</a:t>
          </a:r>
        </a:p>
        <a:p>
          <a:pPr algn="l"/>
          <a:endParaRPr lang="pt-B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0</xdr:col>
      <xdr:colOff>0</xdr:colOff>
      <xdr:row>6</xdr:row>
      <xdr:rowOff>278781</xdr:rowOff>
    </xdr:from>
    <xdr:to>
      <xdr:col>0</xdr:col>
      <xdr:colOff>6900333</xdr:colOff>
      <xdr:row>9</xdr:row>
      <xdr:rowOff>116159</xdr:rowOff>
    </xdr:to>
    <xdr:sp macro="" textlink="">
      <xdr:nvSpPr>
        <xdr:cNvPr id="12" name="Rectangle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0" y="9873476"/>
          <a:ext cx="6900333" cy="141713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>
              <a:ln/>
              <a:solidFill>
                <a:schemeClr val="accent4"/>
              </a:solidFill>
              <a:effectLst/>
            </a:rPr>
            <a:t>CAIXA</a:t>
          </a:r>
          <a:r>
            <a:rPr lang="pt-BR" sz="2800" b="1" cap="none" spc="0" baseline="0">
              <a:ln/>
              <a:solidFill>
                <a:schemeClr val="accent4"/>
              </a:solidFill>
              <a:effectLst/>
            </a:rPr>
            <a:t> BRUTO</a:t>
          </a:r>
          <a:endParaRPr lang="pt-BR" sz="2800" b="1" cap="none" spc="0">
            <a:ln/>
            <a:solidFill>
              <a:schemeClr val="accent4"/>
            </a:solidFill>
            <a:effectLst/>
          </a:endParaRPr>
        </a:p>
        <a:p>
          <a:pPr algn="l"/>
          <a:endParaRPr lang="pt-B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0</xdr:col>
      <xdr:colOff>0</xdr:colOff>
      <xdr:row>3</xdr:row>
      <xdr:rowOff>48187</xdr:rowOff>
    </xdr:from>
    <xdr:to>
      <xdr:col>0</xdr:col>
      <xdr:colOff>6900333</xdr:colOff>
      <xdr:row>6</xdr:row>
      <xdr:rowOff>287434</xdr:rowOff>
    </xdr:to>
    <xdr:sp macro="" textlink="">
      <xdr:nvSpPr>
        <xdr:cNvPr id="13" name="Rectangle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0" y="8434833"/>
          <a:ext cx="6900333" cy="1447296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>
              <a:ln/>
              <a:solidFill>
                <a:schemeClr val="accent4"/>
              </a:solidFill>
              <a:effectLst/>
            </a:rPr>
            <a:t>RECIBOS</a:t>
          </a:r>
        </a:p>
        <a:p>
          <a:pPr algn="l"/>
          <a:endParaRPr lang="pt-B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0</xdr:col>
      <xdr:colOff>0</xdr:colOff>
      <xdr:row>9</xdr:row>
      <xdr:rowOff>116159</xdr:rowOff>
    </xdr:from>
    <xdr:to>
      <xdr:col>0</xdr:col>
      <xdr:colOff>6900333</xdr:colOff>
      <xdr:row>13</xdr:row>
      <xdr:rowOff>122031</xdr:rowOff>
    </xdr:to>
    <xdr:sp macro="" textlink="">
      <xdr:nvSpPr>
        <xdr:cNvPr id="17" name="Rectangl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11290610"/>
          <a:ext cx="6900333" cy="1585628"/>
        </a:xfrm>
        <a:prstGeom prst="rect">
          <a:avLst/>
        </a:prstGeom>
        <a:solidFill>
          <a:srgbClr val="C00000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>
              <a:ln/>
              <a:solidFill>
                <a:schemeClr val="accent4"/>
              </a:solidFill>
              <a:effectLst/>
            </a:rPr>
            <a:t>GRAFICOS</a:t>
          </a:r>
        </a:p>
        <a:p>
          <a:pPr algn="l"/>
          <a:endParaRPr lang="pt-B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 editAs="oneCell">
    <xdr:from>
      <xdr:col>0</xdr:col>
      <xdr:colOff>5229423</xdr:colOff>
      <xdr:row>2</xdr:row>
      <xdr:rowOff>56689</xdr:rowOff>
    </xdr:from>
    <xdr:to>
      <xdr:col>0</xdr:col>
      <xdr:colOff>6912465</xdr:colOff>
      <xdr:row>2</xdr:row>
      <xdr:rowOff>1217728</xdr:rowOff>
    </xdr:to>
    <xdr:pic>
      <xdr:nvPicPr>
        <xdr:cNvPr id="20" name="Imagem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9423" y="6956506"/>
          <a:ext cx="1683042" cy="1161039"/>
        </a:xfrm>
        <a:prstGeom prst="rect">
          <a:avLst/>
        </a:prstGeom>
      </xdr:spPr>
    </xdr:pic>
    <xdr:clientData/>
  </xdr:twoCellAnchor>
  <xdr:twoCellAnchor editAs="oneCell">
    <xdr:from>
      <xdr:col>0</xdr:col>
      <xdr:colOff>4936404</xdr:colOff>
      <xdr:row>0</xdr:row>
      <xdr:rowOff>2817813</xdr:rowOff>
    </xdr:from>
    <xdr:to>
      <xdr:col>1</xdr:col>
      <xdr:colOff>42907</xdr:colOff>
      <xdr:row>0</xdr:row>
      <xdr:rowOff>4583906</xdr:rowOff>
    </xdr:to>
    <xdr:pic>
      <xdr:nvPicPr>
        <xdr:cNvPr id="22" name="Imagem 8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6404" y="2817813"/>
          <a:ext cx="2031972" cy="1766093"/>
        </a:xfrm>
        <a:prstGeom prst="rect">
          <a:avLst/>
        </a:prstGeom>
      </xdr:spPr>
    </xdr:pic>
    <xdr:clientData/>
  </xdr:twoCellAnchor>
  <xdr:twoCellAnchor>
    <xdr:from>
      <xdr:col>0</xdr:col>
      <xdr:colOff>337344</xdr:colOff>
      <xdr:row>0</xdr:row>
      <xdr:rowOff>694531</xdr:rowOff>
    </xdr:from>
    <xdr:to>
      <xdr:col>0</xdr:col>
      <xdr:colOff>4048125</xdr:colOff>
      <xdr:row>0</xdr:row>
      <xdr:rowOff>2024062</xdr:rowOff>
    </xdr:to>
    <xdr:sp macro="[0]!salvar_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>
        <a:xfrm>
          <a:off x="337344" y="694531"/>
          <a:ext cx="3710781" cy="1329531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t-BR" sz="3200" b="1" u="sng" cap="none" spc="0">
              <a:ln/>
              <a:solidFill>
                <a:schemeClr val="accent4"/>
              </a:solidFill>
              <a:effectLst/>
            </a:rPr>
            <a:t>SALVAR</a:t>
          </a:r>
          <a:endParaRPr lang="pt-BR" sz="1100" b="1" u="sng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0</xdr:col>
      <xdr:colOff>932658</xdr:colOff>
      <xdr:row>0</xdr:row>
      <xdr:rowOff>3194844</xdr:rowOff>
    </xdr:from>
    <xdr:to>
      <xdr:col>0</xdr:col>
      <xdr:colOff>3651252</xdr:colOff>
      <xdr:row>0</xdr:row>
      <xdr:rowOff>4187032</xdr:rowOff>
    </xdr:to>
    <xdr:sp macro="[0]!fechar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>
        <a:xfrm>
          <a:off x="932658" y="3194844"/>
          <a:ext cx="2718594" cy="992188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t-BR" sz="2800" b="1" u="sng" cap="none" spc="0">
              <a:ln/>
              <a:solidFill>
                <a:schemeClr val="accent4"/>
              </a:solidFill>
              <a:effectLst/>
            </a:rPr>
            <a:t>SAIR</a:t>
          </a:r>
          <a:endParaRPr lang="pt-BR" sz="1100" b="1" u="sng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 editAs="oneCell">
    <xdr:from>
      <xdr:col>0</xdr:col>
      <xdr:colOff>5204774</xdr:colOff>
      <xdr:row>6</xdr:row>
      <xdr:rowOff>371875</xdr:rowOff>
    </xdr:from>
    <xdr:to>
      <xdr:col>0</xdr:col>
      <xdr:colOff>6493451</xdr:colOff>
      <xdr:row>9</xdr:row>
      <xdr:rowOff>354865</xdr:rowOff>
    </xdr:to>
    <xdr:pic>
      <xdr:nvPicPr>
        <xdr:cNvPr id="29" name="Imagem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4774" y="9966570"/>
          <a:ext cx="1288677" cy="1167807"/>
        </a:xfrm>
        <a:prstGeom prst="rect">
          <a:avLst/>
        </a:prstGeom>
      </xdr:spPr>
    </xdr:pic>
    <xdr:clientData/>
  </xdr:twoCellAnchor>
  <xdr:twoCellAnchor editAs="oneCell">
    <xdr:from>
      <xdr:col>0</xdr:col>
      <xdr:colOff>5370825</xdr:colOff>
      <xdr:row>10</xdr:row>
      <xdr:rowOff>39301</xdr:rowOff>
    </xdr:from>
    <xdr:to>
      <xdr:col>0</xdr:col>
      <xdr:colOff>6564721</xdr:colOff>
      <xdr:row>13</xdr:row>
      <xdr:rowOff>116740</xdr:rowOff>
    </xdr:to>
    <xdr:pic>
      <xdr:nvPicPr>
        <xdr:cNvPr id="31" name="Imagem 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0825" y="10749118"/>
          <a:ext cx="1193896" cy="126225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</xdr:row>
      <xdr:rowOff>0</xdr:rowOff>
    </xdr:from>
    <xdr:to>
      <xdr:col>0</xdr:col>
      <xdr:colOff>6900333</xdr:colOff>
      <xdr:row>1</xdr:row>
      <xdr:rowOff>1788842</xdr:rowOff>
    </xdr:to>
    <xdr:sp macro="" textlink="">
      <xdr:nvSpPr>
        <xdr:cNvPr id="39" name="Rectangle 3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>
        <a:xfrm>
          <a:off x="0" y="5041280"/>
          <a:ext cx="6900333" cy="1788842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t-BR" sz="5400" b="1" cap="none" spc="0">
              <a:ln/>
              <a:solidFill>
                <a:schemeClr val="accent4"/>
              </a:solidFill>
              <a:effectLst/>
            </a:rPr>
            <a:t>MENU</a:t>
          </a:r>
        </a:p>
        <a:p>
          <a:pPr algn="ctr"/>
          <a:endParaRPr lang="pt-BR" sz="28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1</xdr:col>
      <xdr:colOff>0</xdr:colOff>
      <xdr:row>0</xdr:row>
      <xdr:rowOff>47625</xdr:rowOff>
    </xdr:from>
    <xdr:to>
      <xdr:col>1</xdr:col>
      <xdr:colOff>22264</xdr:colOff>
      <xdr:row>0</xdr:row>
      <xdr:rowOff>5018049</xdr:rowOff>
    </xdr:to>
    <xdr:cxnSp macro="">
      <xdr:nvCxnSpPr>
        <xdr:cNvPr id="40" name="Conector reto 10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CxnSpPr/>
      </xdr:nvCxnSpPr>
      <xdr:spPr>
        <a:xfrm flipH="1">
          <a:off x="6923049" y="47625"/>
          <a:ext cx="22264" cy="4970424"/>
        </a:xfrm>
        <a:prstGeom prst="line">
          <a:avLst/>
        </a:prstGeom>
        <a:ln w="7620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13</xdr:row>
      <xdr:rowOff>139390</xdr:rowOff>
    </xdr:from>
    <xdr:to>
      <xdr:col>0</xdr:col>
      <xdr:colOff>6900333</xdr:colOff>
      <xdr:row>17</xdr:row>
      <xdr:rowOff>80019</xdr:rowOff>
    </xdr:to>
    <xdr:sp macro="" textlink="">
      <xdr:nvSpPr>
        <xdr:cNvPr id="44" name="Rectangle 4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/>
      </xdr:nvSpPr>
      <xdr:spPr>
        <a:xfrm>
          <a:off x="0" y="12893597"/>
          <a:ext cx="6900333" cy="1520385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b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>
              <a:ln/>
              <a:solidFill>
                <a:schemeClr val="accent4"/>
              </a:solidFill>
              <a:effectLst/>
            </a:rPr>
            <a:t>ORÇAMENTOS</a:t>
          </a:r>
        </a:p>
        <a:p>
          <a:pPr algn="l"/>
          <a:endParaRPr lang="pt-BR" sz="2800" b="1" cap="none" spc="0">
            <a:ln/>
            <a:solidFill>
              <a:schemeClr val="accent4"/>
            </a:solidFill>
            <a:effectLst/>
          </a:endParaRPr>
        </a:p>
        <a:p>
          <a:pPr algn="l"/>
          <a:endParaRPr lang="pt-B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1</xdr:col>
      <xdr:colOff>0</xdr:colOff>
      <xdr:row>0</xdr:row>
      <xdr:rowOff>4238625</xdr:rowOff>
    </xdr:from>
    <xdr:to>
      <xdr:col>4</xdr:col>
      <xdr:colOff>904875</xdr:colOff>
      <xdr:row>1</xdr:row>
      <xdr:rowOff>42397</xdr:rowOff>
    </xdr:to>
    <xdr:sp macro="" textlink="">
      <xdr:nvSpPr>
        <xdr:cNvPr id="24" name="Retângulo Arredondado 2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6929438" y="4238625"/>
          <a:ext cx="12644437" cy="852022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 b="1"/>
            <a:t>ABRIR</a:t>
          </a:r>
          <a:r>
            <a:rPr lang="pt-BR" sz="3600" b="1" baseline="0"/>
            <a:t> PASTA COM OS ORÇAMENTOS ENUMERADOS</a:t>
          </a:r>
        </a:p>
        <a:p>
          <a:pPr algn="ctr"/>
          <a:endParaRPr lang="pt-BR" sz="36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16384</xdr:col>
      <xdr:colOff>15893143</xdr:colOff>
      <xdr:row>1</xdr:row>
      <xdr:rowOff>0</xdr:rowOff>
    </xdr:to>
    <xdr:cxnSp macro="">
      <xdr:nvCxnSpPr>
        <xdr:cNvPr id="4" name="Conector reto 9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CxnSpPr/>
      </xdr:nvCxnSpPr>
      <xdr:spPr>
        <a:xfrm>
          <a:off x="38042850" y="5048250"/>
          <a:ext cx="605518" cy="0"/>
        </a:xfrm>
        <a:prstGeom prst="line">
          <a:avLst/>
        </a:prstGeom>
        <a:ln w="76200"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</xdr:row>
      <xdr:rowOff>0</xdr:rowOff>
    </xdr:from>
    <xdr:to>
      <xdr:col>9</xdr:col>
      <xdr:colOff>0</xdr:colOff>
      <xdr:row>1</xdr:row>
      <xdr:rowOff>19843</xdr:rowOff>
    </xdr:to>
    <xdr:cxnSp macro="">
      <xdr:nvCxnSpPr>
        <xdr:cNvPr id="5" name="Conector reto 10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>
          <a:off x="0" y="5048250"/>
          <a:ext cx="38042850" cy="19843"/>
        </a:xfrm>
        <a:prstGeom prst="line">
          <a:avLst/>
        </a:prstGeom>
        <a:ln w="7620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</xdr:row>
      <xdr:rowOff>1820574</xdr:rowOff>
    </xdr:from>
    <xdr:to>
      <xdr:col>9</xdr:col>
      <xdr:colOff>0</xdr:colOff>
      <xdr:row>1</xdr:row>
      <xdr:rowOff>1837892</xdr:rowOff>
    </xdr:to>
    <xdr:cxnSp macro="">
      <xdr:nvCxnSpPr>
        <xdr:cNvPr id="6" name="Conector reto 2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CxnSpPr/>
      </xdr:nvCxnSpPr>
      <xdr:spPr>
        <a:xfrm flipV="1">
          <a:off x="6924675" y="6478299"/>
          <a:ext cx="31118175" cy="0"/>
        </a:xfrm>
        <a:prstGeom prst="line">
          <a:avLst/>
        </a:prstGeom>
        <a:ln w="76200">
          <a:solidFill>
            <a:schemeClr val="tx1"/>
          </a:solidFill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19843</xdr:colOff>
      <xdr:row>0</xdr:row>
      <xdr:rowOff>47625</xdr:rowOff>
    </xdr:from>
    <xdr:ext cx="29995523" cy="4976812"/>
    <xdr:pic>
      <xdr:nvPicPr>
        <xdr:cNvPr id="7" name="Imagem 3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9281" y="47625"/>
          <a:ext cx="29995523" cy="4976812"/>
        </a:xfrm>
        <a:prstGeom prst="rect">
          <a:avLst/>
        </a:prstGeom>
      </xdr:spPr>
    </xdr:pic>
    <xdr:clientData/>
  </xdr:oneCellAnchor>
  <xdr:oneCellAnchor>
    <xdr:from>
      <xdr:col>0</xdr:col>
      <xdr:colOff>4340010</xdr:colOff>
      <xdr:row>0</xdr:row>
      <xdr:rowOff>0</xdr:rowOff>
    </xdr:from>
    <xdr:ext cx="2522524" cy="2425362"/>
    <xdr:pic>
      <xdr:nvPicPr>
        <xdr:cNvPr id="8" name="Imagem 18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010" y="0"/>
          <a:ext cx="2522524" cy="2425362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1</xdr:row>
      <xdr:rowOff>1831949</xdr:rowOff>
    </xdr:from>
    <xdr:to>
      <xdr:col>0</xdr:col>
      <xdr:colOff>6900333</xdr:colOff>
      <xdr:row>4</xdr:row>
      <xdr:rowOff>204052</xdr:rowOff>
    </xdr:to>
    <xdr:sp macro="" textlink="">
      <xdr:nvSpPr>
        <xdr:cNvPr id="9" name="Rectangle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0" y="6480149"/>
          <a:ext cx="6900333" cy="1258178"/>
        </a:xfrm>
        <a:prstGeom prst="rect">
          <a:avLst/>
        </a:prstGeom>
        <a:solidFill>
          <a:schemeClr val="tx1">
            <a:lumMod val="95000"/>
            <a:lumOff val="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>
              <a:ln/>
              <a:solidFill>
                <a:schemeClr val="accent4"/>
              </a:solidFill>
              <a:effectLst/>
            </a:rPr>
            <a:t>CADASTRO DE CLIENTES</a:t>
          </a:r>
        </a:p>
        <a:p>
          <a:pPr algn="l"/>
          <a:endParaRPr lang="pt-B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0</xdr:col>
      <xdr:colOff>0</xdr:colOff>
      <xdr:row>7</xdr:row>
      <xdr:rowOff>318351</xdr:rowOff>
    </xdr:from>
    <xdr:to>
      <xdr:col>0</xdr:col>
      <xdr:colOff>6900333</xdr:colOff>
      <xdr:row>11</xdr:row>
      <xdr:rowOff>8079</xdr:rowOff>
    </xdr:to>
    <xdr:sp macro="" textlink="">
      <xdr:nvSpPr>
        <xdr:cNvPr id="10" name="Rectangle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0" y="9052776"/>
          <a:ext cx="6900333" cy="128992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>
              <a:ln/>
              <a:solidFill>
                <a:schemeClr val="accent4"/>
              </a:solidFill>
              <a:effectLst/>
            </a:rPr>
            <a:t>CONTROLE</a:t>
          </a:r>
          <a:r>
            <a:rPr lang="pt-BR" sz="2800" b="1" cap="none" spc="0" baseline="0">
              <a:ln/>
              <a:solidFill>
                <a:schemeClr val="accent4"/>
              </a:solidFill>
              <a:effectLst/>
            </a:rPr>
            <a:t> DE CAIXA</a:t>
          </a:r>
          <a:endParaRPr lang="pt-BR" sz="2800" b="1" cap="none" spc="0">
            <a:ln/>
            <a:solidFill>
              <a:schemeClr val="accent4"/>
            </a:solidFill>
            <a:effectLst/>
          </a:endParaRPr>
        </a:p>
        <a:p>
          <a:pPr algn="l"/>
          <a:endParaRPr lang="pt-B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0</xdr:col>
      <xdr:colOff>0</xdr:colOff>
      <xdr:row>4</xdr:row>
      <xdr:rowOff>225484</xdr:rowOff>
    </xdr:from>
    <xdr:to>
      <xdr:col>0</xdr:col>
      <xdr:colOff>6900333</xdr:colOff>
      <xdr:row>7</xdr:row>
      <xdr:rowOff>275490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0" y="7759759"/>
          <a:ext cx="6900333" cy="1250156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>
              <a:ln/>
              <a:solidFill>
                <a:schemeClr val="accent4"/>
              </a:solidFill>
              <a:effectLst/>
            </a:rPr>
            <a:t>RECIBOS</a:t>
          </a:r>
        </a:p>
        <a:p>
          <a:pPr algn="l"/>
          <a:endParaRPr lang="pt-B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oneCellAnchor>
    <xdr:from>
      <xdr:col>0</xdr:col>
      <xdr:colOff>5068597</xdr:colOff>
      <xdr:row>4</xdr:row>
      <xdr:rowOff>285593</xdr:rowOff>
    </xdr:from>
    <xdr:ext cx="1908058" cy="1224180"/>
    <xdr:pic>
      <xdr:nvPicPr>
        <xdr:cNvPr id="12" name="Imagem 20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8597" y="7819868"/>
          <a:ext cx="1908058" cy="1224180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11</xdr:row>
      <xdr:rowOff>39300</xdr:rowOff>
    </xdr:from>
    <xdr:to>
      <xdr:col>0</xdr:col>
      <xdr:colOff>6900333</xdr:colOff>
      <xdr:row>14</xdr:row>
      <xdr:rowOff>122031</xdr:rowOff>
    </xdr:to>
    <xdr:sp macro="" textlink="">
      <xdr:nvSpPr>
        <xdr:cNvPr id="13" name="Rectangle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0" y="10373925"/>
          <a:ext cx="6900333" cy="1282881"/>
        </a:xfrm>
        <a:prstGeom prst="rect">
          <a:avLst/>
        </a:prstGeom>
        <a:solidFill>
          <a:srgbClr val="C00000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>
              <a:ln/>
              <a:solidFill>
                <a:schemeClr val="accent4"/>
              </a:solidFill>
              <a:effectLst/>
            </a:rPr>
            <a:t>GRAFICOS</a:t>
          </a:r>
        </a:p>
        <a:p>
          <a:pPr algn="l"/>
          <a:endParaRPr lang="pt-B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 editAs="oneCell">
    <xdr:from>
      <xdr:col>0</xdr:col>
      <xdr:colOff>5229423</xdr:colOff>
      <xdr:row>2</xdr:row>
      <xdr:rowOff>56689</xdr:rowOff>
    </xdr:from>
    <xdr:to>
      <xdr:col>0</xdr:col>
      <xdr:colOff>6912465</xdr:colOff>
      <xdr:row>4</xdr:row>
      <xdr:rowOff>172301</xdr:rowOff>
    </xdr:to>
    <xdr:pic>
      <xdr:nvPicPr>
        <xdr:cNvPr id="14" name="Imagem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9423" y="6533689"/>
          <a:ext cx="1683042" cy="1172887"/>
        </a:xfrm>
        <a:prstGeom prst="rect">
          <a:avLst/>
        </a:prstGeom>
      </xdr:spPr>
    </xdr:pic>
    <xdr:clientData/>
  </xdr:twoCellAnchor>
  <xdr:twoCellAnchor editAs="oneCell">
    <xdr:from>
      <xdr:col>0</xdr:col>
      <xdr:colOff>4936404</xdr:colOff>
      <xdr:row>0</xdr:row>
      <xdr:rowOff>2817813</xdr:rowOff>
    </xdr:from>
    <xdr:to>
      <xdr:col>1</xdr:col>
      <xdr:colOff>42907</xdr:colOff>
      <xdr:row>0</xdr:row>
      <xdr:rowOff>4583906</xdr:rowOff>
    </xdr:to>
    <xdr:pic>
      <xdr:nvPicPr>
        <xdr:cNvPr id="15" name="Imagem 8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6404" y="2817813"/>
          <a:ext cx="2031178" cy="1766093"/>
        </a:xfrm>
        <a:prstGeom prst="rect">
          <a:avLst/>
        </a:prstGeom>
      </xdr:spPr>
    </xdr:pic>
    <xdr:clientData/>
  </xdr:twoCellAnchor>
  <xdr:twoCellAnchor>
    <xdr:from>
      <xdr:col>0</xdr:col>
      <xdr:colOff>337344</xdr:colOff>
      <xdr:row>0</xdr:row>
      <xdr:rowOff>694531</xdr:rowOff>
    </xdr:from>
    <xdr:to>
      <xdr:col>0</xdr:col>
      <xdr:colOff>4048125</xdr:colOff>
      <xdr:row>0</xdr:row>
      <xdr:rowOff>2024062</xdr:rowOff>
    </xdr:to>
    <xdr:sp macro="[0]!salvar_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337344" y="694531"/>
          <a:ext cx="3710781" cy="1329531"/>
        </a:xfrm>
        <a:prstGeom prst="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t-BR" sz="3200" b="1" u="sng" cap="none" spc="0">
              <a:ln/>
              <a:solidFill>
                <a:schemeClr val="accent4"/>
              </a:solidFill>
              <a:effectLst/>
            </a:rPr>
            <a:t>SALVAR</a:t>
          </a:r>
          <a:endParaRPr lang="pt-BR" sz="1100" b="1" u="sng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0</xdr:col>
      <xdr:colOff>932658</xdr:colOff>
      <xdr:row>0</xdr:row>
      <xdr:rowOff>3194844</xdr:rowOff>
    </xdr:from>
    <xdr:to>
      <xdr:col>0</xdr:col>
      <xdr:colOff>3651252</xdr:colOff>
      <xdr:row>0</xdr:row>
      <xdr:rowOff>4187032</xdr:rowOff>
    </xdr:to>
    <xdr:sp macro="[0]!fechar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>
        <a:xfrm>
          <a:off x="932658" y="3194844"/>
          <a:ext cx="2718594" cy="992188"/>
        </a:xfrm>
        <a:prstGeom prst="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t-BR" sz="2800" b="1" u="sng" cap="none" spc="0">
              <a:ln/>
              <a:solidFill>
                <a:schemeClr val="accent4"/>
              </a:solidFill>
              <a:effectLst/>
            </a:rPr>
            <a:t>SAIR</a:t>
          </a:r>
          <a:endParaRPr lang="pt-BR" sz="1100" b="1" u="sng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 editAs="oneCell">
    <xdr:from>
      <xdr:col>0</xdr:col>
      <xdr:colOff>5274469</xdr:colOff>
      <xdr:row>7</xdr:row>
      <xdr:rowOff>371875</xdr:rowOff>
    </xdr:from>
    <xdr:to>
      <xdr:col>0</xdr:col>
      <xdr:colOff>6563146</xdr:colOff>
      <xdr:row>10</xdr:row>
      <xdr:rowOff>354865</xdr:rowOff>
    </xdr:to>
    <xdr:pic>
      <xdr:nvPicPr>
        <xdr:cNvPr id="18" name="Imagem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74469" y="9106300"/>
          <a:ext cx="1288677" cy="1183140"/>
        </a:xfrm>
        <a:prstGeom prst="rect">
          <a:avLst/>
        </a:prstGeom>
      </xdr:spPr>
    </xdr:pic>
    <xdr:clientData/>
  </xdr:twoCellAnchor>
  <xdr:twoCellAnchor editAs="oneCell">
    <xdr:from>
      <xdr:col>0</xdr:col>
      <xdr:colOff>5370825</xdr:colOff>
      <xdr:row>11</xdr:row>
      <xdr:rowOff>39301</xdr:rowOff>
    </xdr:from>
    <xdr:to>
      <xdr:col>0</xdr:col>
      <xdr:colOff>6564721</xdr:colOff>
      <xdr:row>14</xdr:row>
      <xdr:rowOff>116740</xdr:rowOff>
    </xdr:to>
    <xdr:pic>
      <xdr:nvPicPr>
        <xdr:cNvPr id="19" name="Imagem 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0825" y="10373926"/>
          <a:ext cx="1193896" cy="127758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</xdr:row>
      <xdr:rowOff>0</xdr:rowOff>
    </xdr:from>
    <xdr:to>
      <xdr:col>0</xdr:col>
      <xdr:colOff>6900333</xdr:colOff>
      <xdr:row>1</xdr:row>
      <xdr:rowOff>1788842</xdr:rowOff>
    </xdr:to>
    <xdr:sp macro="" textlink="">
      <xdr:nvSpPr>
        <xdr:cNvPr id="20" name="Rectangle 1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>
        <a:xfrm>
          <a:off x="0" y="5048250"/>
          <a:ext cx="6900333" cy="1426892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b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t-BR" sz="5400" b="1" cap="none" spc="0">
              <a:ln/>
              <a:solidFill>
                <a:schemeClr val="accent4"/>
              </a:solidFill>
              <a:effectLst/>
            </a:rPr>
            <a:t>MENU</a:t>
          </a:r>
        </a:p>
        <a:p>
          <a:pPr algn="ctr"/>
          <a:endParaRPr lang="pt-BR" sz="28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1</xdr:col>
      <xdr:colOff>0</xdr:colOff>
      <xdr:row>0</xdr:row>
      <xdr:rowOff>47625</xdr:rowOff>
    </xdr:from>
    <xdr:to>
      <xdr:col>1</xdr:col>
      <xdr:colOff>22264</xdr:colOff>
      <xdr:row>0</xdr:row>
      <xdr:rowOff>5018049</xdr:rowOff>
    </xdr:to>
    <xdr:cxnSp macro="">
      <xdr:nvCxnSpPr>
        <xdr:cNvPr id="21" name="Conector reto 1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CxnSpPr/>
      </xdr:nvCxnSpPr>
      <xdr:spPr>
        <a:xfrm flipH="1">
          <a:off x="6924675" y="47625"/>
          <a:ext cx="22264" cy="4970424"/>
        </a:xfrm>
        <a:prstGeom prst="line">
          <a:avLst/>
        </a:prstGeom>
        <a:ln w="7620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14</xdr:row>
      <xdr:rowOff>139390</xdr:rowOff>
    </xdr:from>
    <xdr:to>
      <xdr:col>0</xdr:col>
      <xdr:colOff>6900333</xdr:colOff>
      <xdr:row>17</xdr:row>
      <xdr:rowOff>56787</xdr:rowOff>
    </xdr:to>
    <xdr:sp macro="" textlink="">
      <xdr:nvSpPr>
        <xdr:cNvPr id="22" name="Rectangle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11674165"/>
          <a:ext cx="6900333" cy="1517597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b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>
              <a:ln/>
              <a:solidFill>
                <a:schemeClr val="accent4"/>
              </a:solidFill>
              <a:effectLst/>
            </a:rPr>
            <a:t>ORÇAMENTOS</a:t>
          </a:r>
        </a:p>
        <a:p>
          <a:pPr algn="l"/>
          <a:endParaRPr lang="pt-BR" sz="2800" b="1" cap="none" spc="0">
            <a:ln/>
            <a:solidFill>
              <a:schemeClr val="accent4"/>
            </a:solidFill>
            <a:effectLst/>
          </a:endParaRPr>
        </a:p>
        <a:p>
          <a:pPr algn="l"/>
          <a:endParaRPr lang="pt-B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2</xdr:col>
      <xdr:colOff>5309608</xdr:colOff>
      <xdr:row>2</xdr:row>
      <xdr:rowOff>29040</xdr:rowOff>
    </xdr:from>
    <xdr:to>
      <xdr:col>4</xdr:col>
      <xdr:colOff>3452813</xdr:colOff>
      <xdr:row>5</xdr:row>
      <xdr:rowOff>1</xdr:rowOff>
    </xdr:to>
    <xdr:sp macro="" textlink="">
      <xdr:nvSpPr>
        <xdr:cNvPr id="23" name="Retângulo Arredondad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>
        <a:xfrm>
          <a:off x="14167858" y="6506040"/>
          <a:ext cx="6763330" cy="1447336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 b="1"/>
            <a:t>ABRIR</a:t>
          </a:r>
          <a:r>
            <a:rPr lang="pt-BR" sz="3600" b="1" baseline="0"/>
            <a:t> PLANILHAS DE CUSTOS</a:t>
          </a:r>
          <a:endParaRPr lang="pt-BR" sz="36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iloartclassea.wixsite.com/stiloart" TargetMode="Externa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N64"/>
  <sheetViews>
    <sheetView showGridLines="0" tabSelected="1" view="pageBreakPreview" zoomScale="50" zoomScaleNormal="70" zoomScaleSheetLayoutView="50" zoomScalePageLayoutView="115" workbookViewId="0">
      <selection activeCell="E20" sqref="E20"/>
    </sheetView>
  </sheetViews>
  <sheetFormatPr defaultColWidth="0" defaultRowHeight="15" x14ac:dyDescent="0.25"/>
  <cols>
    <col min="1" max="1" width="16.85546875" customWidth="1"/>
    <col min="2" max="2" width="22.42578125" customWidth="1"/>
    <col min="3" max="3" width="67.28515625" customWidth="1"/>
    <col min="4" max="4" width="23.85546875" customWidth="1"/>
    <col min="5" max="5" width="20.42578125" customWidth="1"/>
    <col min="6" max="6" width="31.140625" customWidth="1"/>
    <col min="7" max="8" width="10.28515625" customWidth="1"/>
    <col min="9" max="9" width="25" customWidth="1"/>
    <col min="10" max="14" width="10.28515625" hidden="1" customWidth="1"/>
    <col min="15" max="16384" width="9.140625" hidden="1"/>
  </cols>
  <sheetData>
    <row r="1" spans="2:9" ht="31.5" customHeight="1" x14ac:dyDescent="0.25">
      <c r="B1" s="218"/>
      <c r="C1" s="218"/>
      <c r="D1" s="219" t="s">
        <v>30</v>
      </c>
      <c r="E1" s="219"/>
      <c r="F1" s="219"/>
    </row>
    <row r="2" spans="2:9" ht="55.5" customHeight="1" x14ac:dyDescent="0.25">
      <c r="B2" s="218"/>
      <c r="C2" s="218"/>
      <c r="D2" s="220" t="s">
        <v>29</v>
      </c>
      <c r="E2" s="220"/>
      <c r="F2" s="220"/>
    </row>
    <row r="3" spans="2:9" ht="45" customHeight="1" x14ac:dyDescent="0.25">
      <c r="B3" s="218"/>
      <c r="C3" s="218"/>
      <c r="D3" s="219" t="s">
        <v>28</v>
      </c>
      <c r="E3" s="219"/>
      <c r="F3" s="219"/>
    </row>
    <row r="4" spans="2:9" ht="41.25" customHeight="1" x14ac:dyDescent="0.25">
      <c r="D4" s="221"/>
      <c r="E4" s="221"/>
      <c r="F4" s="221"/>
    </row>
    <row r="5" spans="2:9" ht="30.75" customHeight="1" x14ac:dyDescent="0.45">
      <c r="B5" s="53" t="s">
        <v>2</v>
      </c>
      <c r="C5" s="217"/>
      <c r="D5" s="217"/>
      <c r="E5" s="217"/>
      <c r="F5" s="217"/>
      <c r="G5" s="54"/>
      <c r="H5" s="54"/>
      <c r="I5" s="54"/>
    </row>
    <row r="6" spans="2:9" ht="30.75" customHeight="1" x14ac:dyDescent="0.45">
      <c r="B6" s="53" t="s">
        <v>27</v>
      </c>
      <c r="C6" s="217" t="s">
        <v>12</v>
      </c>
      <c r="D6" s="217"/>
      <c r="E6" s="217"/>
      <c r="F6" s="217"/>
      <c r="G6" s="54"/>
      <c r="H6" s="54"/>
      <c r="I6" s="54"/>
    </row>
    <row r="7" spans="2:9" ht="28.5" x14ac:dyDescent="0.45">
      <c r="B7" s="53" t="s">
        <v>26</v>
      </c>
      <c r="C7" s="217" t="s">
        <v>12</v>
      </c>
      <c r="D7" s="217"/>
      <c r="E7" s="217"/>
      <c r="F7" s="217"/>
      <c r="G7" s="54"/>
      <c r="H7" s="54"/>
      <c r="I7" s="54"/>
    </row>
    <row r="8" spans="2:9" ht="28.5" x14ac:dyDescent="0.45">
      <c r="B8" s="53" t="s">
        <v>6</v>
      </c>
      <c r="C8" s="217"/>
      <c r="D8" s="217"/>
      <c r="E8" s="217"/>
      <c r="F8" s="217"/>
      <c r="G8" s="54"/>
      <c r="H8" s="54"/>
      <c r="I8" s="54"/>
    </row>
    <row r="9" spans="2:9" ht="28.5" x14ac:dyDescent="0.45">
      <c r="B9" s="53" t="s">
        <v>10</v>
      </c>
      <c r="C9" s="217" t="s">
        <v>12</v>
      </c>
      <c r="D9" s="217"/>
      <c r="E9" s="217"/>
      <c r="F9" s="217"/>
      <c r="G9" s="54"/>
      <c r="H9" s="54"/>
      <c r="I9" s="54"/>
    </row>
    <row r="10" spans="2:9" ht="28.5" x14ac:dyDescent="0.45">
      <c r="B10" s="53" t="s">
        <v>154</v>
      </c>
      <c r="C10" s="224" t="s">
        <v>12</v>
      </c>
      <c r="D10" s="217"/>
      <c r="E10" s="217"/>
      <c r="F10" s="217"/>
      <c r="G10" s="54"/>
      <c r="H10" s="54"/>
      <c r="I10" s="54"/>
    </row>
    <row r="11" spans="2:9" ht="15" customHeight="1" x14ac:dyDescent="0.25">
      <c r="B11" s="52"/>
      <c r="C11" s="52"/>
      <c r="D11" s="52"/>
      <c r="E11" s="52"/>
      <c r="F11" s="52"/>
    </row>
    <row r="12" spans="2:9" ht="15" customHeight="1" x14ac:dyDescent="0.3">
      <c r="B12" s="16"/>
      <c r="C12" s="16"/>
      <c r="D12" s="16"/>
      <c r="E12" s="16"/>
      <c r="F12" s="16"/>
    </row>
    <row r="13" spans="2:9" ht="15.75" customHeight="1" x14ac:dyDescent="0.3">
      <c r="B13" s="16"/>
      <c r="C13" s="16"/>
      <c r="D13" s="16"/>
      <c r="E13" s="16"/>
      <c r="F13" s="16"/>
    </row>
    <row r="14" spans="2:9" ht="21" x14ac:dyDescent="0.35">
      <c r="B14" s="10"/>
      <c r="C14" s="10"/>
      <c r="D14" s="10"/>
      <c r="E14" s="15"/>
      <c r="F14" s="46"/>
    </row>
    <row r="15" spans="2:9" ht="21.75" thickBot="1" x14ac:dyDescent="0.4">
      <c r="B15" s="10"/>
      <c r="C15" s="10"/>
      <c r="D15" s="10"/>
      <c r="E15" s="15"/>
      <c r="F15" s="46"/>
    </row>
    <row r="16" spans="2:9" ht="21" x14ac:dyDescent="0.25">
      <c r="B16" s="225" t="s">
        <v>155</v>
      </c>
      <c r="C16" s="226"/>
      <c r="D16" s="226"/>
      <c r="E16" s="226"/>
      <c r="F16" s="227"/>
    </row>
    <row r="17" spans="2:6" ht="21" x14ac:dyDescent="0.35">
      <c r="B17" s="14" t="s">
        <v>25</v>
      </c>
      <c r="C17" s="228"/>
      <c r="D17" s="229"/>
      <c r="E17" s="229"/>
      <c r="F17" s="230"/>
    </row>
    <row r="18" spans="2:6" ht="21" x14ac:dyDescent="0.35">
      <c r="B18" s="13" t="s">
        <v>24</v>
      </c>
      <c r="C18" s="231"/>
      <c r="D18" s="232"/>
      <c r="E18" s="232"/>
      <c r="F18" s="233"/>
    </row>
    <row r="19" spans="2:6" ht="21" x14ac:dyDescent="0.35">
      <c r="B19" s="201"/>
      <c r="C19" s="202"/>
      <c r="D19" s="12" t="s">
        <v>23</v>
      </c>
      <c r="E19" s="12" t="s">
        <v>22</v>
      </c>
      <c r="F19" s="11" t="s">
        <v>21</v>
      </c>
    </row>
    <row r="20" spans="2:6" ht="21" x14ac:dyDescent="0.35">
      <c r="B20" s="234"/>
      <c r="C20" s="235"/>
      <c r="D20" s="200"/>
      <c r="E20" s="196"/>
      <c r="F20" s="57">
        <f>D20*E20</f>
        <v>0</v>
      </c>
    </row>
    <row r="21" spans="2:6" ht="21" x14ac:dyDescent="0.35">
      <c r="B21" s="234"/>
      <c r="C21" s="235"/>
      <c r="D21" s="200"/>
      <c r="E21" s="196"/>
      <c r="F21" s="57">
        <f>D21*E21</f>
        <v>0</v>
      </c>
    </row>
    <row r="22" spans="2:6" ht="21" x14ac:dyDescent="0.35">
      <c r="B22" s="203" t="s">
        <v>12</v>
      </c>
      <c r="C22" s="204"/>
      <c r="D22" s="50"/>
      <c r="E22" s="49"/>
      <c r="F22" s="57" t="s">
        <v>12</v>
      </c>
    </row>
    <row r="23" spans="2:6" ht="21" x14ac:dyDescent="0.35">
      <c r="B23" s="222" t="s">
        <v>20</v>
      </c>
      <c r="C23" s="223"/>
      <c r="D23" s="223"/>
      <c r="E23" s="223"/>
      <c r="F23" s="58">
        <f>SUM(F20:F22)</f>
        <v>0</v>
      </c>
    </row>
    <row r="24" spans="2:6" ht="19.5" thickBot="1" x14ac:dyDescent="0.35">
      <c r="B24" s="238"/>
      <c r="C24" s="239"/>
      <c r="D24" s="239"/>
      <c r="E24" s="239"/>
      <c r="F24" s="240"/>
    </row>
    <row r="30" spans="2:6" x14ac:dyDescent="0.25">
      <c r="B30" t="s">
        <v>12</v>
      </c>
    </row>
    <row r="33" spans="2:6" x14ac:dyDescent="0.25">
      <c r="B33" t="s">
        <v>12</v>
      </c>
    </row>
    <row r="36" spans="2:6" ht="21.75" thickBot="1" x14ac:dyDescent="0.4">
      <c r="B36" s="10"/>
      <c r="C36" s="10"/>
      <c r="D36" s="10"/>
      <c r="E36" s="10"/>
      <c r="F36" s="10"/>
    </row>
    <row r="37" spans="2:6" ht="21" x14ac:dyDescent="0.35">
      <c r="B37" s="241" t="s">
        <v>19</v>
      </c>
      <c r="C37" s="242"/>
      <c r="D37" s="242"/>
      <c r="E37" s="242"/>
      <c r="F37" s="48">
        <f>SUMIF(B:B,"TOTAL",F:F)</f>
        <v>0</v>
      </c>
    </row>
    <row r="38" spans="2:6" ht="21" x14ac:dyDescent="0.35">
      <c r="B38" s="243" t="s">
        <v>156</v>
      </c>
      <c r="C38" s="244"/>
      <c r="D38" s="244"/>
      <c r="E38" s="244"/>
      <c r="F38" s="57"/>
    </row>
    <row r="39" spans="2:6" ht="21" x14ac:dyDescent="0.35">
      <c r="B39" s="243" t="s">
        <v>18</v>
      </c>
      <c r="C39" s="244"/>
      <c r="D39" s="244"/>
      <c r="E39" s="244"/>
      <c r="F39" s="47"/>
    </row>
    <row r="40" spans="2:6" ht="21.75" thickBot="1" x14ac:dyDescent="0.3">
      <c r="B40" s="9" t="s">
        <v>17</v>
      </c>
      <c r="C40" s="245"/>
      <c r="D40" s="245"/>
      <c r="E40" s="245"/>
      <c r="F40" s="246"/>
    </row>
    <row r="41" spans="2:6" ht="21" x14ac:dyDescent="0.35">
      <c r="B41" s="8"/>
      <c r="C41" s="8"/>
      <c r="D41" s="8"/>
      <c r="E41" s="8"/>
      <c r="F41" s="46"/>
    </row>
    <row r="42" spans="2:6" ht="21" x14ac:dyDescent="0.35">
      <c r="B42" s="8"/>
      <c r="C42" s="8"/>
      <c r="D42" s="8"/>
      <c r="E42" s="8"/>
      <c r="F42" s="46"/>
    </row>
    <row r="43" spans="2:6" ht="15.75" x14ac:dyDescent="0.25">
      <c r="B43" s="247" t="s">
        <v>16</v>
      </c>
      <c r="C43" s="247"/>
      <c r="D43" s="247"/>
      <c r="E43" s="247"/>
      <c r="F43" s="247"/>
    </row>
    <row r="44" spans="2:6" ht="18.75" x14ac:dyDescent="0.3">
      <c r="B44" s="7"/>
      <c r="C44" s="7"/>
      <c r="D44" s="7"/>
      <c r="E44" s="6"/>
      <c r="F44" s="5"/>
    </row>
    <row r="45" spans="2:6" ht="18.75" x14ac:dyDescent="0.3">
      <c r="B45" s="7"/>
      <c r="C45" s="7"/>
      <c r="D45" s="7"/>
      <c r="E45" s="6"/>
      <c r="F45" s="5"/>
    </row>
    <row r="46" spans="2:6" ht="18.75" x14ac:dyDescent="0.3">
      <c r="B46" s="7"/>
      <c r="C46" s="7"/>
      <c r="D46" s="7"/>
      <c r="E46" s="6"/>
      <c r="F46" s="5"/>
    </row>
    <row r="47" spans="2:6" ht="18.75" x14ac:dyDescent="0.3">
      <c r="B47" s="7"/>
      <c r="C47" s="7"/>
      <c r="D47" s="7"/>
      <c r="E47" s="6"/>
      <c r="F47" s="5"/>
    </row>
    <row r="50" spans="2:6" x14ac:dyDescent="0.25">
      <c r="C50" s="236" t="s">
        <v>15</v>
      </c>
      <c r="D50" s="236"/>
      <c r="E50" s="236"/>
    </row>
    <row r="51" spans="2:6" x14ac:dyDescent="0.25">
      <c r="C51" s="236"/>
      <c r="D51" s="236"/>
      <c r="E51" s="236"/>
    </row>
    <row r="53" spans="2:6" ht="21" x14ac:dyDescent="0.25">
      <c r="B53" s="237" t="s">
        <v>14</v>
      </c>
      <c r="C53" s="237"/>
      <c r="D53" s="237"/>
      <c r="E53" s="237"/>
      <c r="F53" s="237"/>
    </row>
    <row r="64" spans="2:6" x14ac:dyDescent="0.25">
      <c r="B64" t="s">
        <v>13</v>
      </c>
    </row>
  </sheetData>
  <mergeCells count="24">
    <mergeCell ref="C50:E51"/>
    <mergeCell ref="B53:F53"/>
    <mergeCell ref="B24:F24"/>
    <mergeCell ref="B37:E37"/>
    <mergeCell ref="B38:E38"/>
    <mergeCell ref="B39:E39"/>
    <mergeCell ref="C40:F40"/>
    <mergeCell ref="B43:F43"/>
    <mergeCell ref="B23:E23"/>
    <mergeCell ref="C7:F7"/>
    <mergeCell ref="C8:F8"/>
    <mergeCell ref="C9:F9"/>
    <mergeCell ref="C10:F10"/>
    <mergeCell ref="B16:F16"/>
    <mergeCell ref="C17:F17"/>
    <mergeCell ref="C18:F18"/>
    <mergeCell ref="B20:C20"/>
    <mergeCell ref="B21:C21"/>
    <mergeCell ref="C6:F6"/>
    <mergeCell ref="B1:C3"/>
    <mergeCell ref="D1:F1"/>
    <mergeCell ref="D2:F2"/>
    <mergeCell ref="D3:F4"/>
    <mergeCell ref="C5:F5"/>
  </mergeCells>
  <hyperlinks>
    <hyperlink ref="C50" r:id="rId1" display="https://stiloartclassea.wixsite.com/stiloart" xr:uid="{00000000-0004-0000-0000-000000000000}"/>
  </hyperlinks>
  <pageMargins left="0.25" right="0.25" top="0.75" bottom="0.75" header="0.3" footer="0.3"/>
  <pageSetup paperSize="9" scale="49" orientation="portrait" r:id="rId2"/>
  <headerFooter>
    <oddFooter>&amp;R&amp;G</oddFooter>
  </headerFooter>
  <rowBreaks count="1" manualBreakCount="1">
    <brk id="56" max="6" man="1"/>
  </rowBreaks>
  <drawing r:id="rId3"/>
  <legacyDrawingHF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B1:Q18"/>
  <sheetViews>
    <sheetView zoomScale="110" zoomScaleNormal="110" workbookViewId="0">
      <selection activeCell="J15" sqref="J15"/>
    </sheetView>
  </sheetViews>
  <sheetFormatPr defaultRowHeight="15" x14ac:dyDescent="0.25"/>
  <cols>
    <col min="1" max="1" width="18.85546875" bestFit="1" customWidth="1"/>
    <col min="2" max="2" width="19.5703125" bestFit="1" customWidth="1"/>
    <col min="3" max="3" width="16.42578125" bestFit="1" customWidth="1"/>
    <col min="4" max="4" width="14.7109375" bestFit="1" customWidth="1"/>
    <col min="6" max="6" width="15.28515625" customWidth="1"/>
    <col min="8" max="8" width="10.140625" bestFit="1" customWidth="1"/>
    <col min="9" max="9" width="15.7109375" customWidth="1"/>
    <col min="10" max="10" width="13.85546875" customWidth="1"/>
    <col min="11" max="11" width="9.85546875" customWidth="1"/>
    <col min="13" max="13" width="36" bestFit="1" customWidth="1"/>
    <col min="14" max="14" width="10.85546875" bestFit="1" customWidth="1"/>
    <col min="16" max="16" width="14.28515625" bestFit="1" customWidth="1"/>
    <col min="17" max="17" width="11.140625" customWidth="1"/>
  </cols>
  <sheetData>
    <row r="1" spans="2:17" x14ac:dyDescent="0.25">
      <c r="B1" s="249" t="s">
        <v>47</v>
      </c>
      <c r="C1" s="250"/>
      <c r="D1" s="251"/>
    </row>
    <row r="2" spans="2:17" ht="15.75" thickBot="1" x14ac:dyDescent="0.3">
      <c r="B2" s="252"/>
      <c r="C2" s="253"/>
      <c r="D2" s="254"/>
    </row>
    <row r="3" spans="2:17" ht="15.75" thickBot="1" x14ac:dyDescent="0.3">
      <c r="B3" s="255" t="s">
        <v>48</v>
      </c>
      <c r="C3" s="256"/>
      <c r="D3" s="257"/>
      <c r="M3" s="62" t="s">
        <v>71</v>
      </c>
      <c r="P3" s="62" t="s">
        <v>70</v>
      </c>
    </row>
    <row r="4" spans="2:17" ht="15.75" thickBot="1" x14ac:dyDescent="0.3">
      <c r="B4" s="259" t="s">
        <v>49</v>
      </c>
      <c r="C4" s="260"/>
      <c r="D4" s="260"/>
      <c r="E4" s="260"/>
      <c r="F4" s="261"/>
      <c r="G4" s="67" t="s">
        <v>59</v>
      </c>
      <c r="H4" s="67" t="s">
        <v>60</v>
      </c>
      <c r="I4" s="67" t="s">
        <v>80</v>
      </c>
      <c r="J4" s="67" t="s">
        <v>81</v>
      </c>
      <c r="M4" s="62" t="s">
        <v>72</v>
      </c>
      <c r="N4" s="62" t="s">
        <v>77</v>
      </c>
      <c r="P4" s="67" t="s">
        <v>78</v>
      </c>
    </row>
    <row r="5" spans="2:17" x14ac:dyDescent="0.25">
      <c r="B5" s="258" t="s">
        <v>50</v>
      </c>
      <c r="C5" s="258"/>
      <c r="D5" s="258"/>
      <c r="E5" s="258"/>
      <c r="F5" s="258"/>
      <c r="G5" s="69" t="s">
        <v>61</v>
      </c>
      <c r="H5" s="70">
        <v>8</v>
      </c>
      <c r="I5" s="70">
        <v>0</v>
      </c>
      <c r="J5" s="68">
        <f>I5-H5</f>
        <v>-8</v>
      </c>
      <c r="K5" s="66"/>
      <c r="M5" s="59" t="s">
        <v>73</v>
      </c>
      <c r="N5" s="63">
        <v>50</v>
      </c>
      <c r="P5" s="72" t="s">
        <v>82</v>
      </c>
      <c r="Q5" s="74">
        <v>18</v>
      </c>
    </row>
    <row r="6" spans="2:17" ht="15.75" thickBot="1" x14ac:dyDescent="0.3">
      <c r="B6" s="248" t="s">
        <v>51</v>
      </c>
      <c r="C6" s="248"/>
      <c r="D6" s="248"/>
      <c r="E6" s="248"/>
      <c r="F6" s="248"/>
      <c r="G6" s="69" t="s">
        <v>62</v>
      </c>
      <c r="H6" s="70">
        <v>20</v>
      </c>
      <c r="I6" s="70">
        <v>0</v>
      </c>
      <c r="J6" s="68">
        <f t="shared" ref="J6:J13" si="0">I6-H6</f>
        <v>-20</v>
      </c>
      <c r="K6" s="66"/>
      <c r="M6" s="60" t="s">
        <v>74</v>
      </c>
      <c r="N6" s="64">
        <v>75</v>
      </c>
      <c r="P6" s="73" t="s">
        <v>79</v>
      </c>
      <c r="Q6" s="75"/>
    </row>
    <row r="7" spans="2:17" x14ac:dyDescent="0.25">
      <c r="B7" s="248" t="s">
        <v>52</v>
      </c>
      <c r="C7" s="248"/>
      <c r="D7" s="248"/>
      <c r="E7" s="248"/>
      <c r="F7" s="248"/>
      <c r="G7" s="69" t="s">
        <v>63</v>
      </c>
      <c r="H7" s="70">
        <v>12</v>
      </c>
      <c r="I7" s="70">
        <v>0</v>
      </c>
      <c r="J7" s="68">
        <f t="shared" si="0"/>
        <v>-12</v>
      </c>
      <c r="K7" s="66"/>
      <c r="M7" s="60" t="s">
        <v>75</v>
      </c>
      <c r="N7" s="64">
        <v>100</v>
      </c>
    </row>
    <row r="8" spans="2:17" ht="15.75" thickBot="1" x14ac:dyDescent="0.3">
      <c r="B8" s="248" t="s">
        <v>53</v>
      </c>
      <c r="C8" s="248"/>
      <c r="D8" s="248"/>
      <c r="E8" s="248"/>
      <c r="F8" s="248"/>
      <c r="G8" s="69" t="s">
        <v>64</v>
      </c>
      <c r="H8" s="70">
        <v>15</v>
      </c>
      <c r="I8" s="70">
        <v>0</v>
      </c>
      <c r="J8" s="68">
        <f t="shared" si="0"/>
        <v>-15</v>
      </c>
      <c r="K8" s="66"/>
      <c r="M8" s="61" t="s">
        <v>76</v>
      </c>
      <c r="N8" s="65">
        <v>150</v>
      </c>
    </row>
    <row r="9" spans="2:17" x14ac:dyDescent="0.25">
      <c r="B9" s="248" t="s">
        <v>54</v>
      </c>
      <c r="C9" s="248"/>
      <c r="D9" s="248"/>
      <c r="E9" s="248"/>
      <c r="F9" s="248"/>
      <c r="G9" s="69" t="s">
        <v>65</v>
      </c>
      <c r="H9" s="70">
        <v>35</v>
      </c>
      <c r="I9" s="70">
        <v>0</v>
      </c>
      <c r="J9" s="68">
        <f t="shared" si="0"/>
        <v>-35</v>
      </c>
      <c r="K9" s="66"/>
    </row>
    <row r="10" spans="2:17" x14ac:dyDescent="0.25">
      <c r="B10" s="248" t="s">
        <v>55</v>
      </c>
      <c r="C10" s="248"/>
      <c r="D10" s="248"/>
      <c r="E10" s="248"/>
      <c r="F10" s="248"/>
      <c r="G10" s="69" t="s">
        <v>66</v>
      </c>
      <c r="H10" s="70">
        <v>80</v>
      </c>
      <c r="I10" s="70">
        <v>80</v>
      </c>
      <c r="J10" s="68">
        <f t="shared" si="0"/>
        <v>0</v>
      </c>
      <c r="K10" s="66"/>
    </row>
    <row r="11" spans="2:17" x14ac:dyDescent="0.25">
      <c r="B11" s="248" t="s">
        <v>56</v>
      </c>
      <c r="C11" s="248"/>
      <c r="D11" s="248"/>
      <c r="E11" s="248"/>
      <c r="F11" s="248"/>
      <c r="G11" s="69" t="s">
        <v>67</v>
      </c>
      <c r="H11" s="70">
        <v>100</v>
      </c>
      <c r="I11" s="70">
        <v>150</v>
      </c>
      <c r="J11" s="68">
        <f t="shared" si="0"/>
        <v>50</v>
      </c>
      <c r="K11" s="66"/>
    </row>
    <row r="12" spans="2:17" x14ac:dyDescent="0.25">
      <c r="B12" s="248" t="s">
        <v>57</v>
      </c>
      <c r="C12" s="248"/>
      <c r="D12" s="248"/>
      <c r="E12" s="248"/>
      <c r="F12" s="248"/>
      <c r="G12" s="69" t="s">
        <v>68</v>
      </c>
      <c r="H12" s="70">
        <v>200</v>
      </c>
      <c r="I12" s="70">
        <v>200</v>
      </c>
      <c r="J12" s="68">
        <f t="shared" si="0"/>
        <v>0</v>
      </c>
      <c r="K12" s="66"/>
    </row>
    <row r="13" spans="2:17" x14ac:dyDescent="0.25">
      <c r="B13" s="248" t="s">
        <v>58</v>
      </c>
      <c r="C13" s="248"/>
      <c r="D13" s="248"/>
      <c r="E13" s="248"/>
      <c r="F13" s="248"/>
      <c r="G13" s="69" t="s">
        <v>69</v>
      </c>
      <c r="H13" s="70">
        <v>200</v>
      </c>
      <c r="I13" s="70">
        <v>200</v>
      </c>
      <c r="J13" s="68">
        <f t="shared" si="0"/>
        <v>0</v>
      </c>
      <c r="K13" s="66"/>
    </row>
    <row r="14" spans="2:17" x14ac:dyDescent="0.25">
      <c r="J14" s="71">
        <f>SUM(J5:J13)</f>
        <v>-40</v>
      </c>
      <c r="K14" s="66"/>
    </row>
    <row r="15" spans="2:17" x14ac:dyDescent="0.25">
      <c r="K15" s="66"/>
    </row>
    <row r="16" spans="2:17" x14ac:dyDescent="0.25">
      <c r="K16" s="66"/>
    </row>
    <row r="17" spans="11:11" x14ac:dyDescent="0.25">
      <c r="K17" s="66"/>
    </row>
    <row r="18" spans="11:11" x14ac:dyDescent="0.25">
      <c r="K18" s="66"/>
    </row>
  </sheetData>
  <mergeCells count="12">
    <mergeCell ref="B12:F12"/>
    <mergeCell ref="B13:F13"/>
    <mergeCell ref="B1:D2"/>
    <mergeCell ref="B3:D3"/>
    <mergeCell ref="B5:F5"/>
    <mergeCell ref="B6:F6"/>
    <mergeCell ref="B7:F7"/>
    <mergeCell ref="B8:F8"/>
    <mergeCell ref="B4:F4"/>
    <mergeCell ref="B9:F9"/>
    <mergeCell ref="B10:F10"/>
    <mergeCell ref="B11:F1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W47"/>
  <sheetViews>
    <sheetView showGridLines="0" topLeftCell="A16" zoomScale="90" zoomScaleNormal="90" workbookViewId="0">
      <selection sqref="A1:D2"/>
    </sheetView>
  </sheetViews>
  <sheetFormatPr defaultColWidth="0" defaultRowHeight="15" zeroHeight="1" x14ac:dyDescent="0.25"/>
  <cols>
    <col min="1" max="7" width="9.140625" customWidth="1"/>
    <col min="8" max="8" width="14.140625" customWidth="1"/>
    <col min="9" max="23" width="9.140625" customWidth="1"/>
    <col min="24" max="16384" width="9.140625" hidden="1"/>
  </cols>
  <sheetData>
    <row r="1" spans="1:23" ht="15" customHeight="1" x14ac:dyDescent="0.25">
      <c r="A1" s="270" t="s">
        <v>46</v>
      </c>
      <c r="B1" s="270"/>
      <c r="C1" s="270"/>
      <c r="D1" s="270"/>
      <c r="E1" s="264">
        <f ca="1">NOW()</f>
        <v>44526.692095023151</v>
      </c>
      <c r="F1" s="265"/>
      <c r="G1" s="265"/>
      <c r="H1" s="266"/>
      <c r="V1" s="262"/>
      <c r="W1" s="218"/>
    </row>
    <row r="2" spans="1:23" ht="15" customHeight="1" thickBot="1" x14ac:dyDescent="0.3">
      <c r="A2" s="270"/>
      <c r="B2" s="270"/>
      <c r="C2" s="270"/>
      <c r="D2" s="270"/>
      <c r="E2" s="267"/>
      <c r="F2" s="268"/>
      <c r="G2" s="268"/>
      <c r="H2" s="269"/>
      <c r="V2" s="218"/>
      <c r="W2" s="218"/>
    </row>
    <row r="3" spans="1:23" x14ac:dyDescent="0.25">
      <c r="V3" s="263"/>
      <c r="W3" s="263"/>
    </row>
    <row r="4" spans="1:23" x14ac:dyDescent="0.25">
      <c r="V4" s="263"/>
      <c r="W4" s="263"/>
    </row>
    <row r="5" spans="1:23" x14ac:dyDescent="0.25"/>
    <row r="6" spans="1:23" x14ac:dyDescent="0.25"/>
    <row r="7" spans="1:23" x14ac:dyDescent="0.25"/>
    <row r="8" spans="1:23" x14ac:dyDescent="0.25"/>
    <row r="9" spans="1:23" x14ac:dyDescent="0.25"/>
    <row r="10" spans="1:23" x14ac:dyDescent="0.25"/>
    <row r="11" spans="1:23" x14ac:dyDescent="0.25"/>
    <row r="12" spans="1:23" x14ac:dyDescent="0.25"/>
    <row r="13" spans="1:23" x14ac:dyDescent="0.25"/>
    <row r="14" spans="1:23" x14ac:dyDescent="0.25"/>
    <row r="15" spans="1:23" x14ac:dyDescent="0.25"/>
    <row r="16" spans="1:23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</sheetData>
  <mergeCells count="4">
    <mergeCell ref="V1:W2"/>
    <mergeCell ref="V3:W4"/>
    <mergeCell ref="E1:H2"/>
    <mergeCell ref="A1:D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0">
    <tabColor theme="8" tint="-0.499984740745262"/>
  </sheetPr>
  <dimension ref="A1:R157"/>
  <sheetViews>
    <sheetView showGridLines="0" topLeftCell="A175" zoomScale="40" zoomScaleNormal="40" workbookViewId="0">
      <selection activeCell="E75" sqref="E75"/>
    </sheetView>
  </sheetViews>
  <sheetFormatPr defaultColWidth="0" defaultRowHeight="31.5" x14ac:dyDescent="0.5"/>
  <cols>
    <col min="1" max="1" width="103.85546875" style="279" customWidth="1"/>
    <col min="2" max="2" width="28.85546875" style="4" customWidth="1"/>
    <col min="3" max="3" width="36.85546875" style="4" customWidth="1"/>
    <col min="4" max="4" width="49.5703125" style="4" customWidth="1"/>
    <col min="5" max="5" width="48.85546875" style="4" bestFit="1" customWidth="1"/>
    <col min="6" max="6" width="45.85546875" style="4" bestFit="1" customWidth="1"/>
    <col min="7" max="7" width="49.42578125" style="4" customWidth="1"/>
    <col min="8" max="8" width="33.140625" style="4" customWidth="1"/>
    <col min="9" max="9" width="77.42578125" style="4" customWidth="1"/>
    <col min="10" max="16384" width="9.140625" style="4" hidden="1"/>
  </cols>
  <sheetData>
    <row r="1" spans="1:18" ht="397.5" customHeight="1" thickBot="1" x14ac:dyDescent="0.55000000000000004">
      <c r="A1" s="276"/>
      <c r="B1" s="277"/>
      <c r="C1" s="277"/>
      <c r="D1" s="277"/>
      <c r="E1" s="277"/>
      <c r="F1" s="277"/>
      <c r="G1" s="277"/>
      <c r="H1" s="277"/>
      <c r="I1" s="278"/>
    </row>
    <row r="2" spans="1:18" customFormat="1" ht="112.5" customHeight="1" x14ac:dyDescent="0.5">
      <c r="A2" s="279"/>
      <c r="B2" s="280" t="s">
        <v>151</v>
      </c>
      <c r="C2" s="281"/>
      <c r="D2" s="281"/>
      <c r="E2" s="281"/>
      <c r="F2" s="281"/>
      <c r="G2" s="281"/>
      <c r="H2" s="281"/>
      <c r="I2" s="281"/>
      <c r="L2" s="4"/>
      <c r="M2" s="4"/>
      <c r="N2" s="4"/>
      <c r="O2" s="4"/>
      <c r="P2" s="4"/>
      <c r="Q2" s="4"/>
      <c r="R2" s="4"/>
    </row>
    <row r="3" spans="1:18" customFormat="1" ht="51.75" customHeight="1" x14ac:dyDescent="0.5">
      <c r="A3" s="279"/>
      <c r="B3" s="4"/>
      <c r="C3" s="4"/>
      <c r="D3" s="4"/>
      <c r="E3" s="4"/>
      <c r="F3" s="4"/>
      <c r="G3" s="4"/>
      <c r="H3" s="4"/>
      <c r="I3" s="4"/>
      <c r="L3" s="4"/>
      <c r="M3" s="4"/>
      <c r="N3" s="4"/>
      <c r="O3" s="4"/>
      <c r="P3" s="4"/>
      <c r="Q3" s="4"/>
      <c r="R3" s="4"/>
    </row>
    <row r="5" spans="1:18" x14ac:dyDescent="0.5">
      <c r="C5" s="91"/>
      <c r="D5" s="91"/>
    </row>
    <row r="6" spans="1:18" x14ac:dyDescent="0.5">
      <c r="C6" s="91"/>
      <c r="D6" s="91"/>
    </row>
    <row r="7" spans="1:18" x14ac:dyDescent="0.5">
      <c r="C7" s="91"/>
      <c r="D7" s="91"/>
    </row>
    <row r="8" spans="1:18" x14ac:dyDescent="0.5">
      <c r="C8" s="91"/>
      <c r="D8" s="91"/>
    </row>
    <row r="9" spans="1:18" x14ac:dyDescent="0.5">
      <c r="C9" s="91"/>
      <c r="D9" s="91"/>
    </row>
    <row r="10" spans="1:18" x14ac:dyDescent="0.5">
      <c r="C10" s="91"/>
    </row>
    <row r="11" spans="1:18" x14ac:dyDescent="0.5">
      <c r="C11" s="91"/>
    </row>
    <row r="12" spans="1:18" ht="61.5" x14ac:dyDescent="0.9">
      <c r="C12" s="91"/>
      <c r="D12" s="282" t="s">
        <v>153</v>
      </c>
      <c r="E12" s="282"/>
      <c r="F12" s="141">
        <f ca="1">SUM(F15:F26)</f>
        <v>0</v>
      </c>
    </row>
    <row r="13" spans="1:18" x14ac:dyDescent="0.5">
      <c r="C13" s="91"/>
    </row>
    <row r="14" spans="1:18" ht="46.5" x14ac:dyDescent="0.7">
      <c r="C14" s="91"/>
      <c r="F14" s="101" t="s">
        <v>106</v>
      </c>
      <c r="G14" s="101" t="s">
        <v>105</v>
      </c>
    </row>
    <row r="15" spans="1:18" ht="33.75" x14ac:dyDescent="0.5">
      <c r="E15" s="95" t="s">
        <v>95</v>
      </c>
      <c r="F15" s="94">
        <f ca="1">SUMIF(CAIXA!$C$5:$C$118,1,CAIXA!$G$5:$G$116)</f>
        <v>0</v>
      </c>
      <c r="G15" s="102">
        <f>COUNTIF(CAIXA!$C$5:$C$114,1)</f>
        <v>0</v>
      </c>
      <c r="H15" s="23"/>
    </row>
    <row r="16" spans="1:18" ht="33.75" x14ac:dyDescent="0.5">
      <c r="E16" s="95" t="s">
        <v>92</v>
      </c>
      <c r="F16" s="94">
        <f ca="1">SUMIF(CAIXA!$C$5:$C$118,2,CAIXA!$G$5:$G$116)</f>
        <v>0</v>
      </c>
      <c r="G16" s="102">
        <f>COUNTIF(CAIXA!$C$5:$C$114,2)</f>
        <v>0</v>
      </c>
      <c r="H16" s="23"/>
    </row>
    <row r="17" spans="3:8" ht="33.75" x14ac:dyDescent="0.5">
      <c r="E17" s="95" t="s">
        <v>87</v>
      </c>
      <c r="F17" s="94">
        <f ca="1">SUMIF(CAIXA!$C$5:$C$118,3,CAIXA!$G$5:$G$116)</f>
        <v>0</v>
      </c>
      <c r="G17" s="102">
        <f>COUNTIF(CAIXA!$C$5:$C$114,3)</f>
        <v>0</v>
      </c>
      <c r="H17" s="103"/>
    </row>
    <row r="18" spans="3:8" ht="33.75" x14ac:dyDescent="0.5">
      <c r="E18" s="95" t="s">
        <v>88</v>
      </c>
      <c r="F18" s="94">
        <f ca="1">SUMIF(CAIXA!$C$5:$C$118,4,CAIXA!$G$5:$G$116)</f>
        <v>0</v>
      </c>
      <c r="G18" s="102">
        <f>COUNTIF(CAIXA!$C$5:$C$114,4)</f>
        <v>0</v>
      </c>
      <c r="H18" s="23"/>
    </row>
    <row r="19" spans="3:8" ht="33.75" x14ac:dyDescent="0.5">
      <c r="E19" s="95" t="s">
        <v>96</v>
      </c>
      <c r="F19" s="94">
        <f ca="1">SUMIF(CAIXA!$C$5:$C$118,5,CAIXA!$G$5:$G$116)</f>
        <v>0</v>
      </c>
      <c r="G19" s="102">
        <f>COUNTIF(CAIXA!$C$5:$C$114,5)</f>
        <v>0</v>
      </c>
      <c r="H19" s="23"/>
    </row>
    <row r="20" spans="3:8" ht="33.75" x14ac:dyDescent="0.5">
      <c r="E20" s="95" t="s">
        <v>97</v>
      </c>
      <c r="F20" s="94">
        <f ca="1">SUMIF(CAIXA!$C$5:$C$118,6,CAIXA!$G$5:$G$116)</f>
        <v>0</v>
      </c>
      <c r="G20" s="102">
        <f>COUNTIF(CAIXA!$C$5:$C$114,6)</f>
        <v>0</v>
      </c>
      <c r="H20" s="23"/>
    </row>
    <row r="21" spans="3:8" ht="33.75" x14ac:dyDescent="0.5">
      <c r="E21" s="95" t="s">
        <v>98</v>
      </c>
      <c r="F21" s="94">
        <f ca="1">SUMIF(CAIXA!$C$5:$C$118,7,CAIXA!$G$5:$G$116)</f>
        <v>0</v>
      </c>
      <c r="G21" s="102">
        <f>COUNTIF(CAIXA!$C$5:$C$114,7)</f>
        <v>0</v>
      </c>
      <c r="H21" s="23"/>
    </row>
    <row r="22" spans="3:8" ht="33.75" x14ac:dyDescent="0.5">
      <c r="E22" s="95" t="s">
        <v>99</v>
      </c>
      <c r="F22" s="94">
        <f ca="1">SUMIF(CAIXA!$C$5:$C$118,8,CAIXA!$G$5:$G$116)</f>
        <v>0</v>
      </c>
      <c r="G22" s="102">
        <f>COUNTIF(CAIXA!$C$5:$C$114,8)</f>
        <v>0</v>
      </c>
      <c r="H22" s="23"/>
    </row>
    <row r="23" spans="3:8" ht="33.75" x14ac:dyDescent="0.5">
      <c r="E23" s="95" t="s">
        <v>100</v>
      </c>
      <c r="F23" s="94">
        <f ca="1">SUMIF(CAIXA!$C$5:$C$118,9,CAIXA!$G$5:$G$116)</f>
        <v>0</v>
      </c>
      <c r="G23" s="102">
        <f>COUNTIF(CAIXA!$C$5:$C$114,9)</f>
        <v>0</v>
      </c>
      <c r="H23" s="23"/>
    </row>
    <row r="24" spans="3:8" ht="33.75" x14ac:dyDescent="0.5">
      <c r="E24" s="95" t="s">
        <v>101</v>
      </c>
      <c r="F24" s="94">
        <f ca="1">SUMIF(CAIXA!$C$5:$C$118,10,CAIXA!$G$5:$G$116)</f>
        <v>0</v>
      </c>
      <c r="G24" s="102">
        <f>COUNTIF(CAIXA!$C$5:$C$114,10)</f>
        <v>0</v>
      </c>
      <c r="H24" s="23"/>
    </row>
    <row r="25" spans="3:8" ht="33.75" x14ac:dyDescent="0.5">
      <c r="E25" s="95" t="s">
        <v>102</v>
      </c>
      <c r="F25" s="94">
        <f ca="1">SUMIF(CAIXA!$C$5:$C$118,11,CAIXA!$G$5:$G$116)</f>
        <v>0</v>
      </c>
      <c r="G25" s="102">
        <f>COUNTIF(CAIXA!$C$5:$C$114,11)</f>
        <v>0</v>
      </c>
      <c r="H25" s="23"/>
    </row>
    <row r="26" spans="3:8" ht="33.75" x14ac:dyDescent="0.5">
      <c r="E26" s="95" t="s">
        <v>103</v>
      </c>
      <c r="F26" s="94">
        <f ca="1">SUMIF(CAIXA!$C$5:$C$118,12,CAIXA!$G$5:$G$116)</f>
        <v>0</v>
      </c>
      <c r="G26" s="102">
        <f>COUNTIF(CAIXA!$C$5:$C$114,12)</f>
        <v>0</v>
      </c>
      <c r="H26" s="23"/>
    </row>
    <row r="29" spans="3:8" x14ac:dyDescent="0.5">
      <c r="C29" s="91"/>
      <c r="D29" s="91"/>
    </row>
    <row r="30" spans="3:8" x14ac:dyDescent="0.5">
      <c r="C30" s="91"/>
      <c r="D30" s="91"/>
    </row>
    <row r="31" spans="3:8" x14ac:dyDescent="0.5">
      <c r="C31" s="91"/>
      <c r="D31" s="91"/>
    </row>
    <row r="32" spans="3:8" x14ac:dyDescent="0.5">
      <c r="C32" s="91"/>
      <c r="D32" s="91"/>
    </row>
    <row r="33" spans="3:4" x14ac:dyDescent="0.5">
      <c r="C33" s="91"/>
      <c r="D33" s="91"/>
    </row>
    <row r="34" spans="3:4" x14ac:dyDescent="0.5">
      <c r="C34" s="91"/>
      <c r="D34" s="91"/>
    </row>
    <row r="35" spans="3:4" x14ac:dyDescent="0.5">
      <c r="C35" s="91"/>
      <c r="D35" s="91"/>
    </row>
    <row r="36" spans="3:4" x14ac:dyDescent="0.5">
      <c r="C36" s="91"/>
      <c r="D36" s="91"/>
    </row>
    <row r="37" spans="3:4" x14ac:dyDescent="0.5">
      <c r="C37" s="91"/>
      <c r="D37" s="91"/>
    </row>
    <row r="38" spans="3:4" x14ac:dyDescent="0.5">
      <c r="C38" s="91"/>
      <c r="D38" s="91"/>
    </row>
    <row r="39" spans="3:4" x14ac:dyDescent="0.5">
      <c r="C39" s="91"/>
      <c r="D39" s="91"/>
    </row>
    <row r="40" spans="3:4" x14ac:dyDescent="0.5">
      <c r="C40" s="91"/>
      <c r="D40" s="91"/>
    </row>
    <row r="41" spans="3:4" x14ac:dyDescent="0.5">
      <c r="C41" s="91"/>
      <c r="D41" s="91"/>
    </row>
    <row r="42" spans="3:4" x14ac:dyDescent="0.5">
      <c r="C42" s="91"/>
      <c r="D42" s="91"/>
    </row>
    <row r="43" spans="3:4" x14ac:dyDescent="0.5">
      <c r="C43" s="91"/>
      <c r="D43" s="91"/>
    </row>
    <row r="44" spans="3:4" x14ac:dyDescent="0.5">
      <c r="C44" s="91"/>
      <c r="D44" s="91"/>
    </row>
    <row r="45" spans="3:4" x14ac:dyDescent="0.5">
      <c r="C45" s="91"/>
      <c r="D45" s="91"/>
    </row>
    <row r="46" spans="3:4" x14ac:dyDescent="0.5">
      <c r="C46" s="91"/>
      <c r="D46" s="91"/>
    </row>
    <row r="47" spans="3:4" x14ac:dyDescent="0.5">
      <c r="C47" s="91"/>
      <c r="D47" s="91"/>
    </row>
    <row r="48" spans="3:4" x14ac:dyDescent="0.5">
      <c r="C48" s="91"/>
      <c r="D48" s="91"/>
    </row>
    <row r="49" spans="3:4" x14ac:dyDescent="0.5">
      <c r="C49" s="91"/>
      <c r="D49" s="91"/>
    </row>
    <row r="50" spans="3:4" x14ac:dyDescent="0.5">
      <c r="C50" s="91"/>
      <c r="D50" s="91"/>
    </row>
    <row r="51" spans="3:4" x14ac:dyDescent="0.5">
      <c r="C51" s="91"/>
      <c r="D51" s="91"/>
    </row>
    <row r="52" spans="3:4" x14ac:dyDescent="0.5">
      <c r="C52" s="91"/>
      <c r="D52" s="91"/>
    </row>
    <row r="53" spans="3:4" x14ac:dyDescent="0.5">
      <c r="C53" s="91"/>
      <c r="D53" s="91"/>
    </row>
    <row r="54" spans="3:4" x14ac:dyDescent="0.5">
      <c r="C54" s="91"/>
      <c r="D54" s="91"/>
    </row>
    <row r="55" spans="3:4" x14ac:dyDescent="0.5">
      <c r="C55" s="91"/>
      <c r="D55" s="91"/>
    </row>
    <row r="56" spans="3:4" x14ac:dyDescent="0.5">
      <c r="C56" s="91"/>
      <c r="D56" s="91"/>
    </row>
    <row r="57" spans="3:4" x14ac:dyDescent="0.5">
      <c r="C57" s="91"/>
      <c r="D57" s="91"/>
    </row>
    <row r="58" spans="3:4" x14ac:dyDescent="0.5">
      <c r="C58" s="91"/>
      <c r="D58" s="91"/>
    </row>
    <row r="59" spans="3:4" x14ac:dyDescent="0.5">
      <c r="C59" s="91"/>
      <c r="D59" s="91"/>
    </row>
    <row r="60" spans="3:4" x14ac:dyDescent="0.5">
      <c r="C60" s="91"/>
    </row>
    <row r="61" spans="3:4" x14ac:dyDescent="0.5">
      <c r="C61" s="91"/>
    </row>
    <row r="62" spans="3:4" x14ac:dyDescent="0.5">
      <c r="C62" s="91"/>
    </row>
    <row r="63" spans="3:4" x14ac:dyDescent="0.5">
      <c r="C63" s="91"/>
    </row>
    <row r="64" spans="3:4" x14ac:dyDescent="0.5">
      <c r="C64" s="91"/>
    </row>
    <row r="67" spans="4:7" ht="36" x14ac:dyDescent="0.55000000000000004">
      <c r="D67" s="130"/>
      <c r="E67" s="131"/>
    </row>
    <row r="71" spans="4:7" x14ac:dyDescent="0.5">
      <c r="D71" s="76"/>
      <c r="E71" s="76" t="s">
        <v>119</v>
      </c>
      <c r="F71" s="76" t="s">
        <v>120</v>
      </c>
      <c r="G71" s="128" t="s">
        <v>130</v>
      </c>
    </row>
    <row r="72" spans="4:7" x14ac:dyDescent="0.5">
      <c r="D72" s="76" t="s">
        <v>107</v>
      </c>
      <c r="E72" s="109">
        <f>SUM(CAIXA!K5:K7)</f>
        <v>0</v>
      </c>
      <c r="F72" s="109" t="e">
        <f>E72/COUNTIF(CAIXA!C:C,1)</f>
        <v>#DIV/0!</v>
      </c>
      <c r="G72" s="80">
        <f>COUNTIF(CAIXA!C:C,1)</f>
        <v>0</v>
      </c>
    </row>
    <row r="73" spans="4:7" x14ac:dyDescent="0.5">
      <c r="D73" s="76" t="s">
        <v>108</v>
      </c>
      <c r="E73" s="109">
        <f>SUM(CAIXA!K8:K12)</f>
        <v>0</v>
      </c>
      <c r="F73" s="109" t="e">
        <f>E73/COUNTIF(CAIXA!C:C,2)</f>
        <v>#DIV/0!</v>
      </c>
      <c r="G73" s="80">
        <f>COUNTIF(CAIXA!C:C,2)</f>
        <v>0</v>
      </c>
    </row>
    <row r="74" spans="4:7" x14ac:dyDescent="0.5">
      <c r="D74" s="76" t="s">
        <v>109</v>
      </c>
      <c r="E74" s="109">
        <f>SUM(CAIXA!K13:K17)</f>
        <v>0</v>
      </c>
      <c r="F74" s="109" t="e">
        <f>E74/COUNTIF(CAIXA!C:C,3)</f>
        <v>#DIV/0!</v>
      </c>
      <c r="G74" s="80">
        <f>COUNTIF(CAIXA!C:C,3)</f>
        <v>0</v>
      </c>
    </row>
    <row r="75" spans="4:7" x14ac:dyDescent="0.5">
      <c r="D75" s="76" t="s">
        <v>110</v>
      </c>
      <c r="E75" s="109">
        <f>SUM(CAIXA!K18:K23)</f>
        <v>0</v>
      </c>
      <c r="F75" s="109" t="e">
        <f>E75/COUNTIF(CAIXA!B5:C995,4)</f>
        <v>#DIV/0!</v>
      </c>
      <c r="G75" s="80">
        <f>COUNTIF(CAIXA!C:C,4)</f>
        <v>0</v>
      </c>
    </row>
    <row r="76" spans="4:7" x14ac:dyDescent="0.5">
      <c r="D76" s="76" t="s">
        <v>111</v>
      </c>
      <c r="E76" s="109">
        <f>SUM(CAIXA!K24:K33)</f>
        <v>0</v>
      </c>
      <c r="F76" s="109" t="e">
        <f>E76/COUNTIF(CAIXA!C:C,5)</f>
        <v>#DIV/0!</v>
      </c>
      <c r="G76" s="80">
        <f>COUNTIF(CAIXA!C:C,5)</f>
        <v>0</v>
      </c>
    </row>
    <row r="77" spans="4:7" x14ac:dyDescent="0.5">
      <c r="D77" s="76" t="s">
        <v>112</v>
      </c>
      <c r="E77" s="109">
        <f>SUM(CAIXA!K35:K41)</f>
        <v>0</v>
      </c>
      <c r="F77" s="109" t="e">
        <f>E77/COUNTIF(CAIXA!C:C,6)</f>
        <v>#DIV/0!</v>
      </c>
      <c r="G77" s="80">
        <f>COUNTIF(CAIXA!C:C,6)</f>
        <v>0</v>
      </c>
    </row>
    <row r="78" spans="4:7" x14ac:dyDescent="0.5">
      <c r="D78" s="76" t="s">
        <v>113</v>
      </c>
      <c r="E78" s="109">
        <f>SUM(CAIXA!K43:K49)</f>
        <v>0</v>
      </c>
      <c r="F78" s="109" t="e">
        <f>E78/COUNTIF(CAIXA!C:C,7)</f>
        <v>#DIV/0!</v>
      </c>
      <c r="G78" s="80">
        <f>COUNTIF(CAIXA!C:C,7)</f>
        <v>0</v>
      </c>
    </row>
    <row r="79" spans="4:7" x14ac:dyDescent="0.5">
      <c r="D79" s="76" t="s">
        <v>114</v>
      </c>
      <c r="E79" s="109">
        <f ca="1">SUMIF(CAIXA!C:C,8,CAIXA!$K$5:$K$183)</f>
        <v>0</v>
      </c>
      <c r="F79" s="109" t="e">
        <f ca="1">E79/COUNTIF(CAIXA!C:C,8)</f>
        <v>#DIV/0!</v>
      </c>
      <c r="G79" s="80">
        <f>COUNTIF(CAIXA!C:C,8)</f>
        <v>0</v>
      </c>
    </row>
    <row r="80" spans="4:7" x14ac:dyDescent="0.5">
      <c r="D80" s="76" t="s">
        <v>115</v>
      </c>
      <c r="E80" s="109">
        <f ca="1">SUMIF(CAIXA!C:C,9,CAIXA!$K$5:$K$183)</f>
        <v>0</v>
      </c>
      <c r="F80" s="109" t="e">
        <f ca="1">E80/COUNTIF(CAIXA!C:C,9)</f>
        <v>#DIV/0!</v>
      </c>
      <c r="G80" s="80">
        <f>COUNTIF(CAIXA!C:C,9)</f>
        <v>0</v>
      </c>
    </row>
    <row r="81" spans="4:7" x14ac:dyDescent="0.5">
      <c r="D81" s="76" t="s">
        <v>116</v>
      </c>
      <c r="E81" s="109">
        <f ca="1">SUMIF(CAIXA!C:C,10,CAIXA!$K$5:$K$183)</f>
        <v>0</v>
      </c>
      <c r="F81" s="109" t="e">
        <f ca="1">E81/COUNTIF(CAIXA!C:C,10)</f>
        <v>#DIV/0!</v>
      </c>
      <c r="G81" s="80">
        <f>COUNTIF(CAIXA!C:C,10)</f>
        <v>0</v>
      </c>
    </row>
    <row r="82" spans="4:7" x14ac:dyDescent="0.5">
      <c r="D82" s="76" t="s">
        <v>117</v>
      </c>
      <c r="E82" s="109">
        <f ca="1">SUMIF(CAIXA!C:C,11,CAIXA!$K$5:$K$183)</f>
        <v>0</v>
      </c>
      <c r="F82" s="109" t="e">
        <f ca="1">E82/COUNTIF(CAIXA!C:C,11)</f>
        <v>#DIV/0!</v>
      </c>
      <c r="G82" s="80">
        <f>COUNTIF(CAIXA!C:C,11)</f>
        <v>0</v>
      </c>
    </row>
    <row r="83" spans="4:7" x14ac:dyDescent="0.5">
      <c r="D83" s="76" t="s">
        <v>118</v>
      </c>
      <c r="E83" s="109">
        <f ca="1">SUMIF(CAIXA!C:C,12,CAIXA!$K$5:$K$183)</f>
        <v>0</v>
      </c>
      <c r="F83" s="109" t="e">
        <f ca="1">E83/COUNTIF(CAIXA!C:C,12)</f>
        <v>#DIV/0!</v>
      </c>
      <c r="G83" s="80">
        <f>COUNTIF(CAIXA!C:C,12)</f>
        <v>0</v>
      </c>
    </row>
    <row r="86" spans="4:7" x14ac:dyDescent="0.5">
      <c r="E86" s="141"/>
    </row>
    <row r="124" spans="3:7" ht="36.75" thickBot="1" x14ac:dyDescent="0.6">
      <c r="C124" s="275" t="s">
        <v>165</v>
      </c>
      <c r="D124" s="275"/>
      <c r="F124" s="275" t="s">
        <v>166</v>
      </c>
      <c r="G124" s="275"/>
    </row>
    <row r="125" spans="3:7" x14ac:dyDescent="0.5">
      <c r="C125" s="271"/>
      <c r="D125" s="272"/>
      <c r="F125" s="271"/>
      <c r="G125" s="272"/>
    </row>
    <row r="126" spans="3:7" ht="32.25" thickBot="1" x14ac:dyDescent="0.55000000000000004">
      <c r="C126" s="273"/>
      <c r="D126" s="274"/>
      <c r="F126" s="273"/>
      <c r="G126" s="274"/>
    </row>
    <row r="127" spans="3:7" x14ac:dyDescent="0.5">
      <c r="C127" s="271"/>
      <c r="D127" s="272"/>
    </row>
    <row r="128" spans="3:7" ht="32.25" thickBot="1" x14ac:dyDescent="0.55000000000000004">
      <c r="C128" s="273"/>
      <c r="D128" s="274"/>
    </row>
    <row r="130" spans="3:7" ht="36.75" thickBot="1" x14ac:dyDescent="0.6">
      <c r="C130" s="275" t="s">
        <v>139</v>
      </c>
      <c r="D130" s="275"/>
      <c r="F130" s="275" t="s">
        <v>140</v>
      </c>
      <c r="G130" s="275"/>
    </row>
    <row r="131" spans="3:7" x14ac:dyDescent="0.5">
      <c r="C131" s="271">
        <f>SUM(FLUXO!E7:E42)</f>
        <v>0</v>
      </c>
      <c r="D131" s="272"/>
      <c r="F131" s="271"/>
      <c r="G131" s="272"/>
    </row>
    <row r="132" spans="3:7" ht="32.25" thickBot="1" x14ac:dyDescent="0.55000000000000004">
      <c r="C132" s="273"/>
      <c r="D132" s="274"/>
      <c r="F132" s="273"/>
      <c r="G132" s="274"/>
    </row>
    <row r="135" spans="3:7" ht="31.5" customHeight="1" x14ac:dyDescent="0.5"/>
    <row r="136" spans="3:7" ht="32.25" customHeight="1" x14ac:dyDescent="0.5"/>
    <row r="139" spans="3:7" ht="36.75" thickBot="1" x14ac:dyDescent="0.6">
      <c r="C139" s="275" t="s">
        <v>141</v>
      </c>
      <c r="D139" s="275"/>
      <c r="F139" s="275" t="s">
        <v>137</v>
      </c>
      <c r="G139" s="275"/>
    </row>
    <row r="140" spans="3:7" x14ac:dyDescent="0.5">
      <c r="C140" s="271">
        <f>C125+F140+C131+F131+C127+F125+C135</f>
        <v>0</v>
      </c>
      <c r="D140" s="272"/>
      <c r="F140" s="271">
        <f>SUM(FLUXO!J7:J41)</f>
        <v>0</v>
      </c>
      <c r="G140" s="272"/>
    </row>
    <row r="141" spans="3:7" ht="32.25" thickBot="1" x14ac:dyDescent="0.55000000000000004">
      <c r="C141" s="273"/>
      <c r="D141" s="274"/>
      <c r="F141" s="273"/>
      <c r="G141" s="274"/>
    </row>
    <row r="142" spans="3:7" ht="31.5" customHeight="1" x14ac:dyDescent="0.5"/>
    <row r="143" spans="3:7" ht="32.25" customHeight="1" x14ac:dyDescent="0.5"/>
    <row r="148" spans="3:6" ht="31.5" customHeight="1" x14ac:dyDescent="0.5"/>
    <row r="149" spans="3:6" ht="32.25" customHeight="1" thickBot="1" x14ac:dyDescent="0.6">
      <c r="C149" s="164" t="s">
        <v>138</v>
      </c>
      <c r="D149" s="164"/>
    </row>
    <row r="150" spans="3:6" x14ac:dyDescent="0.5">
      <c r="C150" s="271">
        <f ca="1">SUM(F15:F26)</f>
        <v>0</v>
      </c>
      <c r="D150" s="272"/>
    </row>
    <row r="151" spans="3:6" ht="32.25" thickBot="1" x14ac:dyDescent="0.55000000000000004">
      <c r="C151" s="273"/>
      <c r="D151" s="274"/>
    </row>
    <row r="152" spans="3:6" ht="31.5" customHeight="1" x14ac:dyDescent="0.5"/>
    <row r="153" spans="3:6" ht="32.25" customHeight="1" thickBot="1" x14ac:dyDescent="0.55000000000000004"/>
    <row r="154" spans="3:6" ht="32.25" customHeight="1" x14ac:dyDescent="0.5">
      <c r="E154" s="271">
        <f ca="1">C150-C140</f>
        <v>0</v>
      </c>
      <c r="F154" s="272"/>
    </row>
    <row r="155" spans="3:6" ht="32.25" thickBot="1" x14ac:dyDescent="0.55000000000000004">
      <c r="E155" s="273"/>
      <c r="F155" s="274"/>
    </row>
    <row r="156" spans="3:6" ht="31.5" customHeight="1" x14ac:dyDescent="0.5"/>
    <row r="157" spans="3:6" ht="32.25" customHeight="1" x14ac:dyDescent="0.5"/>
  </sheetData>
  <mergeCells count="19">
    <mergeCell ref="C140:D141"/>
    <mergeCell ref="C139:D139"/>
    <mergeCell ref="A1:I1"/>
    <mergeCell ref="A2:A1048576"/>
    <mergeCell ref="B2:I2"/>
    <mergeCell ref="C124:D124"/>
    <mergeCell ref="C125:D126"/>
    <mergeCell ref="F140:G141"/>
    <mergeCell ref="F139:G139"/>
    <mergeCell ref="C150:D151"/>
    <mergeCell ref="E154:F155"/>
    <mergeCell ref="C131:D132"/>
    <mergeCell ref="C130:D130"/>
    <mergeCell ref="D12:E12"/>
    <mergeCell ref="C127:D128"/>
    <mergeCell ref="F124:G124"/>
    <mergeCell ref="F125:G126"/>
    <mergeCell ref="F131:G132"/>
    <mergeCell ref="F130:G13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9"/>
  <dimension ref="A1:R96"/>
  <sheetViews>
    <sheetView showGridLines="0" topLeftCell="A7" zoomScale="40" zoomScaleNormal="40" workbookViewId="0">
      <selection sqref="A1:I1"/>
    </sheetView>
  </sheetViews>
  <sheetFormatPr defaultColWidth="0" defaultRowHeight="31.5" zeroHeight="1" x14ac:dyDescent="0.5"/>
  <cols>
    <col min="1" max="1" width="103.85546875" style="18" customWidth="1"/>
    <col min="2" max="2" width="28.85546875" style="17" customWidth="1"/>
    <col min="3" max="3" width="36.85546875" style="17" customWidth="1"/>
    <col min="4" max="4" width="49.5703125" style="17" customWidth="1"/>
    <col min="5" max="5" width="48.85546875" style="17" bestFit="1" customWidth="1"/>
    <col min="6" max="6" width="19.5703125" style="17" bestFit="1" customWidth="1"/>
    <col min="7" max="7" width="49.42578125" style="17" customWidth="1"/>
    <col min="8" max="8" width="33.140625" style="17" customWidth="1"/>
    <col min="9" max="9" width="77.42578125" style="17" customWidth="1"/>
    <col min="10" max="16384" width="9.140625" style="4" hidden="1"/>
  </cols>
  <sheetData>
    <row r="1" spans="1:18" ht="397.5" customHeight="1" thickBot="1" x14ac:dyDescent="0.55000000000000004">
      <c r="A1" s="283"/>
      <c r="B1" s="284"/>
      <c r="C1" s="284"/>
      <c r="D1" s="284"/>
      <c r="E1" s="284"/>
      <c r="F1" s="284"/>
      <c r="G1" s="284"/>
      <c r="H1" s="284"/>
      <c r="I1" s="285"/>
    </row>
    <row r="2" spans="1:18" customFormat="1" ht="112.5" customHeight="1" x14ac:dyDescent="0.5">
      <c r="A2" s="18"/>
      <c r="B2" s="45"/>
      <c r="C2" s="45"/>
      <c r="D2" s="45"/>
      <c r="E2" s="45"/>
      <c r="F2" s="45"/>
      <c r="G2" s="45"/>
      <c r="H2" s="45"/>
      <c r="I2" s="45"/>
      <c r="L2" s="4"/>
      <c r="M2" s="4"/>
      <c r="N2" s="4"/>
      <c r="O2" s="4"/>
      <c r="P2" s="4"/>
      <c r="Q2" s="4"/>
      <c r="R2" s="4"/>
    </row>
    <row r="3" spans="1:18" customFormat="1" ht="51.75" customHeight="1" x14ac:dyDescent="0.5">
      <c r="A3" s="18"/>
      <c r="B3" s="45"/>
      <c r="C3" s="45"/>
      <c r="D3" s="45"/>
      <c r="E3" s="45"/>
      <c r="F3" s="45"/>
      <c r="G3" s="45"/>
      <c r="H3" s="45"/>
      <c r="I3" s="45"/>
      <c r="L3" s="4"/>
      <c r="M3" s="4"/>
      <c r="N3" s="4"/>
      <c r="O3" s="4"/>
      <c r="P3" s="4"/>
      <c r="Q3" s="4"/>
      <c r="R3" s="4"/>
    </row>
    <row r="4" spans="1:18" x14ac:dyDescent="0.5">
      <c r="B4" s="45"/>
      <c r="C4" s="45"/>
      <c r="D4" s="45"/>
      <c r="E4" s="45"/>
      <c r="F4" s="45"/>
      <c r="G4" s="45"/>
      <c r="H4" s="45"/>
      <c r="I4" s="45"/>
    </row>
    <row r="5" spans="1:18" x14ac:dyDescent="0.5">
      <c r="B5" s="45"/>
      <c r="C5" s="45"/>
      <c r="D5" s="45"/>
      <c r="E5" s="45"/>
      <c r="F5" s="45"/>
      <c r="G5" s="45"/>
      <c r="H5" s="45"/>
      <c r="I5" s="45"/>
    </row>
    <row r="6" spans="1:18" x14ac:dyDescent="0.5">
      <c r="B6" s="45"/>
      <c r="C6" s="45"/>
      <c r="D6" s="45"/>
      <c r="E6" s="45"/>
      <c r="F6" s="45"/>
      <c r="G6" s="45"/>
      <c r="H6" s="45"/>
      <c r="I6" s="45"/>
    </row>
    <row r="7" spans="1:18" x14ac:dyDescent="0.5">
      <c r="B7" s="45"/>
      <c r="C7" s="45"/>
      <c r="D7" s="45"/>
      <c r="E7" s="45"/>
      <c r="F7" s="45"/>
      <c r="G7" s="45"/>
      <c r="H7" s="45"/>
      <c r="I7" s="45"/>
    </row>
    <row r="8" spans="1:18" x14ac:dyDescent="0.5">
      <c r="B8" s="45"/>
      <c r="C8" s="45"/>
      <c r="D8" s="45"/>
      <c r="E8" s="45"/>
      <c r="F8" s="45"/>
      <c r="G8" s="45"/>
      <c r="H8" s="45"/>
      <c r="I8" s="45"/>
    </row>
    <row r="9" spans="1:18" x14ac:dyDescent="0.5">
      <c r="B9" s="45"/>
      <c r="C9" s="45"/>
      <c r="D9" s="45"/>
      <c r="E9" s="45"/>
      <c r="F9" s="45"/>
      <c r="G9" s="45"/>
      <c r="H9" s="45"/>
      <c r="I9" s="45"/>
    </row>
    <row r="10" spans="1:18" x14ac:dyDescent="0.5">
      <c r="B10" s="45"/>
      <c r="C10" s="45"/>
      <c r="D10" s="45"/>
      <c r="E10" s="45"/>
      <c r="F10" s="45"/>
      <c r="G10" s="45"/>
      <c r="H10" s="45"/>
      <c r="I10" s="45"/>
    </row>
    <row r="11" spans="1:18" x14ac:dyDescent="0.5">
      <c r="B11" s="45"/>
      <c r="C11" s="45"/>
      <c r="D11" s="45"/>
      <c r="E11" s="45"/>
      <c r="F11" s="45"/>
      <c r="G11" s="45"/>
      <c r="H11" s="45"/>
      <c r="I11" s="45"/>
    </row>
    <row r="12" spans="1:18" x14ac:dyDescent="0.5">
      <c r="B12" s="45"/>
      <c r="C12" s="45"/>
      <c r="D12" s="45"/>
      <c r="E12" s="45"/>
      <c r="F12" s="45"/>
      <c r="G12" s="45"/>
      <c r="H12" s="45"/>
      <c r="I12" s="45"/>
    </row>
    <row r="13" spans="1:18" x14ac:dyDescent="0.5">
      <c r="B13" s="45"/>
      <c r="C13" s="45"/>
      <c r="D13" s="45"/>
      <c r="E13" s="45"/>
      <c r="F13" s="45"/>
      <c r="G13" s="45"/>
      <c r="H13" s="45"/>
      <c r="I13" s="45"/>
    </row>
    <row r="14" spans="1:18" x14ac:dyDescent="0.5">
      <c r="B14" s="45"/>
      <c r="C14" s="45"/>
      <c r="D14" s="45"/>
      <c r="E14" s="45"/>
      <c r="F14" s="45"/>
      <c r="G14" s="45"/>
      <c r="H14" s="45"/>
      <c r="I14" s="45"/>
    </row>
    <row r="15" spans="1:18" x14ac:dyDescent="0.5">
      <c r="B15" s="45"/>
      <c r="C15" s="45"/>
      <c r="D15" s="45"/>
      <c r="E15" s="45"/>
      <c r="F15" s="45"/>
      <c r="G15" s="45"/>
      <c r="H15" s="45"/>
      <c r="I15" s="45"/>
    </row>
    <row r="16" spans="1:18" x14ac:dyDescent="0.5">
      <c r="B16" s="45"/>
      <c r="C16" s="45"/>
      <c r="D16" s="45"/>
      <c r="E16" s="45"/>
      <c r="F16" s="45"/>
      <c r="G16" s="45"/>
      <c r="H16" s="45"/>
      <c r="I16" s="45"/>
    </row>
    <row r="17" spans="2:9" x14ac:dyDescent="0.5">
      <c r="B17" s="45"/>
      <c r="C17" s="45"/>
      <c r="D17" s="45"/>
      <c r="E17" s="45"/>
      <c r="F17" s="45"/>
      <c r="G17" s="45"/>
      <c r="H17" s="45"/>
      <c r="I17" s="45"/>
    </row>
    <row r="18" spans="2:9" x14ac:dyDescent="0.5">
      <c r="B18" s="45"/>
      <c r="C18" s="45"/>
      <c r="D18" s="45"/>
      <c r="E18" s="45"/>
      <c r="F18" s="45"/>
      <c r="G18" s="45"/>
      <c r="H18" s="45"/>
      <c r="I18" s="45"/>
    </row>
    <row r="19" spans="2:9" x14ac:dyDescent="0.5">
      <c r="B19" s="45"/>
      <c r="C19" s="45"/>
      <c r="D19" s="45"/>
      <c r="E19" s="45"/>
      <c r="F19" s="45"/>
      <c r="G19" s="45"/>
      <c r="H19" s="45"/>
      <c r="I19" s="45"/>
    </row>
    <row r="20" spans="2:9" hidden="1" x14ac:dyDescent="0.5">
      <c r="D20" s="209"/>
    </row>
    <row r="21" spans="2:9" hidden="1" x14ac:dyDescent="0.5">
      <c r="D21" s="209"/>
    </row>
    <row r="96" spans="6:6" hidden="1" x14ac:dyDescent="0.5">
      <c r="F96" s="140" t="s">
        <v>134</v>
      </c>
    </row>
  </sheetData>
  <mergeCells count="1">
    <mergeCell ref="A1:I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R115"/>
  <sheetViews>
    <sheetView topLeftCell="E2" zoomScale="50" zoomScaleNormal="50" workbookViewId="0">
      <selection activeCell="I14" sqref="I14"/>
    </sheetView>
  </sheetViews>
  <sheetFormatPr defaultColWidth="0" defaultRowHeight="31.5" x14ac:dyDescent="0.5"/>
  <cols>
    <col min="1" max="1" width="103.85546875" style="279" customWidth="1"/>
    <col min="2" max="2" width="75.5703125" style="4" customWidth="1"/>
    <col min="3" max="3" width="55.28515625" style="4" bestFit="1" customWidth="1"/>
    <col min="4" max="4" width="78.85546875" style="4" bestFit="1" customWidth="1"/>
    <col min="5" max="5" width="75.85546875" style="4" bestFit="1" customWidth="1"/>
    <col min="6" max="6" width="19.5703125" style="22" bestFit="1" customWidth="1"/>
    <col min="7" max="7" width="59.5703125" style="4" bestFit="1" customWidth="1"/>
    <col min="8" max="8" width="33.140625" style="4" customWidth="1"/>
    <col min="9" max="9" width="77.42578125" style="4" customWidth="1"/>
    <col min="10" max="10" width="60" style="4" bestFit="1" customWidth="1"/>
    <col min="11" max="16384" width="9.140625" style="4" hidden="1"/>
  </cols>
  <sheetData>
    <row r="1" spans="1:18" ht="397.5" customHeight="1" thickBot="1" x14ac:dyDescent="0.55000000000000004">
      <c r="A1" s="286"/>
      <c r="B1" s="287"/>
      <c r="C1" s="287"/>
      <c r="D1" s="287"/>
      <c r="E1" s="287"/>
      <c r="F1" s="287"/>
      <c r="G1" s="287"/>
      <c r="H1" s="287"/>
      <c r="I1" s="288"/>
    </row>
    <row r="2" spans="1:18" customFormat="1" ht="145.5" customHeight="1" x14ac:dyDescent="0.5">
      <c r="A2" s="289"/>
      <c r="B2" s="291" t="s">
        <v>31</v>
      </c>
      <c r="C2" s="292"/>
      <c r="D2" s="292"/>
      <c r="E2" s="292"/>
      <c r="F2" s="292"/>
      <c r="G2" s="292"/>
      <c r="H2" s="292"/>
      <c r="I2" s="292"/>
      <c r="J2" s="292"/>
      <c r="L2" s="4"/>
      <c r="M2" s="4"/>
      <c r="N2" s="4"/>
      <c r="O2" s="4"/>
      <c r="P2" s="4"/>
      <c r="Q2" s="4"/>
      <c r="R2" s="4"/>
    </row>
    <row r="3" spans="1:18" customFormat="1" ht="51.75" customHeight="1" x14ac:dyDescent="0.5">
      <c r="A3" s="290"/>
      <c r="B3" s="3" t="s">
        <v>34</v>
      </c>
      <c r="C3" s="3" t="s">
        <v>2</v>
      </c>
      <c r="D3" s="3" t="s">
        <v>3</v>
      </c>
      <c r="E3" s="3" t="s">
        <v>4</v>
      </c>
      <c r="F3" s="20" t="s">
        <v>5</v>
      </c>
      <c r="G3" s="3" t="s">
        <v>6</v>
      </c>
      <c r="H3" s="3" t="s">
        <v>7</v>
      </c>
      <c r="I3" s="3" t="s">
        <v>11</v>
      </c>
      <c r="J3" s="3" t="s">
        <v>10</v>
      </c>
      <c r="L3" s="4"/>
      <c r="M3" s="4"/>
      <c r="N3" s="4"/>
      <c r="O3" s="4"/>
      <c r="P3" s="4"/>
      <c r="Q3" s="4"/>
      <c r="R3" s="4"/>
    </row>
    <row r="4" spans="1:18" ht="39" customHeight="1" x14ac:dyDescent="0.5">
      <c r="A4" s="290"/>
      <c r="B4" s="21">
        <v>1</v>
      </c>
      <c r="C4" s="19"/>
      <c r="D4" s="19"/>
      <c r="E4" s="19"/>
      <c r="F4" s="21"/>
      <c r="G4" s="19"/>
      <c r="H4" s="19"/>
      <c r="I4" s="19"/>
      <c r="J4" s="19"/>
    </row>
    <row r="5" spans="1:18" x14ac:dyDescent="0.5">
      <c r="A5" s="290"/>
      <c r="B5" s="21">
        <v>2</v>
      </c>
      <c r="C5" s="19"/>
      <c r="D5" s="19"/>
      <c r="E5" s="19"/>
      <c r="F5" s="21"/>
      <c r="G5" s="19"/>
      <c r="H5" s="19"/>
      <c r="I5" s="19"/>
      <c r="J5" s="19"/>
    </row>
    <row r="6" spans="1:18" x14ac:dyDescent="0.5">
      <c r="A6" s="290"/>
      <c r="B6" s="21">
        <v>3</v>
      </c>
      <c r="C6" s="19"/>
      <c r="D6" s="19"/>
      <c r="E6" s="19"/>
      <c r="F6" s="21"/>
      <c r="G6" s="19"/>
      <c r="H6" s="19"/>
      <c r="I6" s="19"/>
      <c r="J6" s="19"/>
    </row>
    <row r="7" spans="1:18" x14ac:dyDescent="0.5">
      <c r="A7" s="290"/>
      <c r="B7" s="21">
        <v>4</v>
      </c>
      <c r="C7" s="19"/>
      <c r="D7" s="19"/>
      <c r="E7" s="19"/>
      <c r="F7" s="21"/>
      <c r="G7" s="19"/>
      <c r="H7" s="19"/>
      <c r="I7" s="19"/>
      <c r="J7" s="19"/>
    </row>
    <row r="8" spans="1:18" x14ac:dyDescent="0.5">
      <c r="A8" s="290"/>
      <c r="B8" s="21">
        <v>5</v>
      </c>
      <c r="C8" s="19"/>
      <c r="D8" s="19"/>
      <c r="E8" s="19"/>
      <c r="F8" s="21"/>
      <c r="G8" s="19"/>
      <c r="H8" s="19"/>
      <c r="I8" s="19"/>
      <c r="J8" s="19"/>
    </row>
    <row r="9" spans="1:18" x14ac:dyDescent="0.5">
      <c r="A9" s="290"/>
      <c r="B9" s="21">
        <v>6</v>
      </c>
      <c r="C9" s="19"/>
      <c r="D9" s="19"/>
      <c r="E9" s="19"/>
      <c r="F9" s="21"/>
      <c r="G9" s="19"/>
      <c r="H9" s="19"/>
      <c r="I9" s="24"/>
      <c r="J9" s="19"/>
    </row>
    <row r="10" spans="1:18" x14ac:dyDescent="0.5">
      <c r="A10" s="290"/>
      <c r="B10" s="21">
        <v>7</v>
      </c>
      <c r="C10" s="38"/>
      <c r="D10" s="38"/>
      <c r="E10" s="38"/>
      <c r="F10" s="56"/>
      <c r="G10" s="38"/>
      <c r="H10" s="38"/>
      <c r="I10" s="38"/>
      <c r="J10" s="38"/>
    </row>
    <row r="11" spans="1:18" x14ac:dyDescent="0.5">
      <c r="A11" s="290"/>
      <c r="B11" s="55">
        <v>8</v>
      </c>
      <c r="C11" s="19"/>
      <c r="D11" s="19"/>
      <c r="E11" s="19"/>
      <c r="F11" s="21"/>
      <c r="G11" s="19"/>
      <c r="H11" s="19"/>
      <c r="I11" s="19"/>
      <c r="J11" s="19"/>
    </row>
    <row r="12" spans="1:18" x14ac:dyDescent="0.5">
      <c r="A12" s="290"/>
      <c r="B12" s="55">
        <v>9</v>
      </c>
      <c r="C12" s="19"/>
      <c r="D12" s="19"/>
      <c r="E12" s="19"/>
      <c r="F12" s="21"/>
      <c r="G12" s="19"/>
      <c r="H12" s="19"/>
      <c r="I12" s="19"/>
      <c r="J12" s="19"/>
    </row>
    <row r="13" spans="1:18" x14ac:dyDescent="0.5">
      <c r="A13" s="290"/>
      <c r="B13" s="55">
        <v>10</v>
      </c>
      <c r="C13" s="19"/>
      <c r="D13" s="19"/>
      <c r="E13" s="19"/>
      <c r="F13" s="21"/>
      <c r="G13" s="19"/>
      <c r="H13" s="19"/>
      <c r="I13" s="19"/>
      <c r="J13" s="19"/>
    </row>
    <row r="14" spans="1:18" x14ac:dyDescent="0.5">
      <c r="A14" s="290"/>
      <c r="B14" s="55">
        <v>11</v>
      </c>
      <c r="C14" s="19"/>
      <c r="D14" s="19"/>
      <c r="E14" s="19"/>
      <c r="F14" s="21"/>
      <c r="G14" s="19"/>
      <c r="H14" s="19"/>
      <c r="I14" s="19"/>
      <c r="J14" s="19"/>
    </row>
    <row r="15" spans="1:18" x14ac:dyDescent="0.5">
      <c r="A15" s="290"/>
      <c r="B15" s="55">
        <v>12</v>
      </c>
      <c r="C15" s="19"/>
      <c r="D15" s="19"/>
      <c r="E15" s="19"/>
      <c r="F15" s="21"/>
      <c r="G15" s="19"/>
      <c r="H15" s="19"/>
      <c r="I15" s="19"/>
      <c r="J15" s="19"/>
    </row>
    <row r="16" spans="1:18" x14ac:dyDescent="0.5">
      <c r="A16" s="290"/>
      <c r="B16" s="55">
        <v>13</v>
      </c>
      <c r="C16" s="19"/>
      <c r="D16" s="19"/>
      <c r="E16" s="19"/>
      <c r="F16" s="21"/>
      <c r="G16" s="19"/>
      <c r="H16" s="19"/>
      <c r="I16" s="19"/>
      <c r="J16" s="19"/>
    </row>
    <row r="17" spans="1:10" x14ac:dyDescent="0.5">
      <c r="A17" s="290"/>
      <c r="B17" s="55">
        <v>14</v>
      </c>
      <c r="C17" s="19"/>
      <c r="D17" s="19"/>
      <c r="E17" s="19"/>
      <c r="F17" s="21"/>
      <c r="G17" s="19"/>
      <c r="H17" s="19"/>
      <c r="I17" s="19"/>
      <c r="J17" s="19"/>
    </row>
    <row r="18" spans="1:10" x14ac:dyDescent="0.5">
      <c r="A18" s="290"/>
      <c r="B18" s="55">
        <v>15</v>
      </c>
      <c r="C18" s="19"/>
      <c r="D18" s="19"/>
      <c r="E18" s="19"/>
      <c r="F18" s="21"/>
      <c r="G18" s="19"/>
      <c r="H18" s="19"/>
      <c r="I18" s="19"/>
      <c r="J18" s="19"/>
    </row>
    <row r="19" spans="1:10" x14ac:dyDescent="0.5">
      <c r="A19" s="290"/>
      <c r="B19" s="55">
        <v>16</v>
      </c>
      <c r="C19" s="19"/>
      <c r="D19" s="19"/>
      <c r="E19" s="19"/>
      <c r="F19" s="21"/>
      <c r="G19" s="19"/>
      <c r="H19" s="19"/>
      <c r="I19" s="19"/>
      <c r="J19" s="19"/>
    </row>
    <row r="20" spans="1:10" x14ac:dyDescent="0.5">
      <c r="A20" s="290"/>
      <c r="B20" s="55">
        <v>17</v>
      </c>
      <c r="C20" s="19"/>
      <c r="D20" s="19"/>
      <c r="E20" s="19"/>
      <c r="F20" s="21"/>
      <c r="G20" s="19"/>
      <c r="H20" s="19"/>
      <c r="I20" s="19"/>
      <c r="J20" s="19"/>
    </row>
    <row r="21" spans="1:10" x14ac:dyDescent="0.5">
      <c r="A21" s="290"/>
      <c r="B21" s="55">
        <v>18</v>
      </c>
      <c r="C21" s="19"/>
      <c r="D21" s="19"/>
      <c r="E21" s="19"/>
      <c r="F21" s="21"/>
      <c r="G21" s="19"/>
      <c r="H21" s="19"/>
      <c r="I21" s="19"/>
      <c r="J21" s="19"/>
    </row>
    <row r="22" spans="1:10" x14ac:dyDescent="0.5">
      <c r="A22" s="290"/>
      <c r="B22" s="55">
        <v>19</v>
      </c>
      <c r="C22" s="19"/>
      <c r="D22" s="19"/>
      <c r="E22" s="19"/>
      <c r="F22" s="21"/>
      <c r="G22" s="19"/>
      <c r="H22" s="19"/>
      <c r="I22" s="19"/>
      <c r="J22" s="19"/>
    </row>
    <row r="23" spans="1:10" x14ac:dyDescent="0.5">
      <c r="A23" s="290"/>
      <c r="B23" s="55">
        <v>20</v>
      </c>
      <c r="C23" s="19"/>
      <c r="D23" s="19"/>
      <c r="E23" s="19"/>
      <c r="F23" s="21"/>
      <c r="G23" s="19"/>
      <c r="H23" s="19"/>
      <c r="I23" s="19"/>
      <c r="J23" s="19"/>
    </row>
    <row r="24" spans="1:10" x14ac:dyDescent="0.5">
      <c r="A24" s="290"/>
      <c r="B24" s="55">
        <v>21</v>
      </c>
      <c r="C24" s="19"/>
      <c r="D24" s="19"/>
      <c r="E24" s="19"/>
      <c r="F24" s="21"/>
      <c r="G24" s="19"/>
      <c r="H24" s="19"/>
      <c r="I24" s="19"/>
      <c r="J24" s="19"/>
    </row>
    <row r="25" spans="1:10" x14ac:dyDescent="0.5">
      <c r="A25" s="290"/>
      <c r="B25" s="55">
        <v>22</v>
      </c>
      <c r="C25" s="19"/>
      <c r="D25" s="19"/>
      <c r="E25" s="19"/>
      <c r="F25" s="21"/>
      <c r="G25" s="19"/>
      <c r="H25" s="19"/>
      <c r="I25" s="19"/>
      <c r="J25" s="19"/>
    </row>
    <row r="26" spans="1:10" x14ac:dyDescent="0.5">
      <c r="A26" s="290"/>
      <c r="B26" s="55">
        <v>23</v>
      </c>
      <c r="C26" s="19"/>
      <c r="D26" s="19"/>
      <c r="E26" s="19"/>
      <c r="F26" s="21"/>
      <c r="G26" s="19"/>
      <c r="H26" s="19"/>
      <c r="I26" s="19"/>
      <c r="J26" s="19"/>
    </row>
    <row r="27" spans="1:10" x14ac:dyDescent="0.5">
      <c r="A27" s="290"/>
      <c r="B27" s="55">
        <v>24</v>
      </c>
      <c r="C27" s="19"/>
      <c r="D27" s="19"/>
      <c r="E27" s="19"/>
      <c r="F27" s="21"/>
      <c r="G27" s="19"/>
      <c r="H27" s="19"/>
      <c r="I27" s="19"/>
      <c r="J27" s="19"/>
    </row>
    <row r="28" spans="1:10" x14ac:dyDescent="0.5">
      <c r="A28" s="290"/>
      <c r="B28" s="55">
        <v>25</v>
      </c>
      <c r="C28" s="19"/>
      <c r="D28" s="19"/>
      <c r="E28" s="19"/>
      <c r="F28" s="21"/>
      <c r="G28" s="19"/>
      <c r="H28" s="19"/>
      <c r="I28" s="19"/>
      <c r="J28" s="19"/>
    </row>
    <row r="29" spans="1:10" x14ac:dyDescent="0.5">
      <c r="A29" s="290"/>
      <c r="B29" s="55">
        <v>26</v>
      </c>
      <c r="C29" s="19"/>
      <c r="D29" s="19"/>
      <c r="E29" s="19"/>
      <c r="F29" s="21"/>
      <c r="G29" s="19"/>
      <c r="H29" s="19"/>
      <c r="I29" s="19"/>
      <c r="J29" s="19"/>
    </row>
    <row r="30" spans="1:10" x14ac:dyDescent="0.5">
      <c r="A30" s="290"/>
      <c r="B30" s="55">
        <v>27</v>
      </c>
      <c r="C30" s="19"/>
      <c r="D30" s="19"/>
      <c r="E30" s="19"/>
      <c r="F30" s="21"/>
      <c r="G30" s="19"/>
      <c r="H30" s="19"/>
      <c r="I30" s="19"/>
      <c r="J30" s="19"/>
    </row>
    <row r="31" spans="1:10" x14ac:dyDescent="0.5">
      <c r="A31" s="290"/>
      <c r="B31" s="55">
        <v>28</v>
      </c>
      <c r="C31" s="19"/>
      <c r="D31" s="19"/>
      <c r="E31" s="19"/>
      <c r="F31" s="21"/>
      <c r="G31" s="19"/>
      <c r="H31" s="19"/>
      <c r="I31" s="19"/>
      <c r="J31" s="19"/>
    </row>
    <row r="32" spans="1:10" x14ac:dyDescent="0.5">
      <c r="A32" s="290"/>
      <c r="B32" s="55">
        <v>29</v>
      </c>
      <c r="C32" s="19"/>
      <c r="D32" s="19"/>
      <c r="E32" s="19"/>
      <c r="F32" s="21"/>
      <c r="G32" s="19"/>
      <c r="H32" s="19"/>
      <c r="I32" s="19"/>
      <c r="J32" s="19"/>
    </row>
    <row r="33" spans="1:10" x14ac:dyDescent="0.5">
      <c r="A33" s="290"/>
      <c r="B33" s="55">
        <v>30</v>
      </c>
      <c r="C33" s="19"/>
      <c r="D33" s="19"/>
      <c r="E33" s="19"/>
      <c r="F33" s="21"/>
      <c r="G33" s="19"/>
      <c r="H33" s="19"/>
      <c r="I33" s="19"/>
      <c r="J33" s="19"/>
    </row>
    <row r="34" spans="1:10" x14ac:dyDescent="0.5">
      <c r="A34" s="290"/>
      <c r="B34" s="55">
        <v>31</v>
      </c>
      <c r="C34" s="19"/>
      <c r="D34" s="19"/>
      <c r="E34" s="19"/>
      <c r="F34" s="21"/>
      <c r="G34" s="19"/>
      <c r="H34" s="19"/>
      <c r="I34" s="19"/>
      <c r="J34" s="19"/>
    </row>
    <row r="35" spans="1:10" x14ac:dyDescent="0.5">
      <c r="A35" s="290"/>
      <c r="B35" s="55">
        <v>32</v>
      </c>
      <c r="C35" s="19"/>
      <c r="D35" s="19"/>
      <c r="E35" s="19"/>
      <c r="F35" s="21"/>
      <c r="G35" s="19"/>
      <c r="H35" s="19"/>
      <c r="I35" s="19"/>
      <c r="J35" s="19"/>
    </row>
    <row r="36" spans="1:10" x14ac:dyDescent="0.5">
      <c r="A36" s="290"/>
      <c r="B36" s="55">
        <v>33</v>
      </c>
      <c r="C36" s="19"/>
      <c r="D36" s="19"/>
      <c r="E36" s="19"/>
      <c r="F36" s="21"/>
      <c r="G36" s="19"/>
      <c r="H36" s="19"/>
      <c r="I36" s="19"/>
      <c r="J36" s="19"/>
    </row>
    <row r="37" spans="1:10" x14ac:dyDescent="0.5">
      <c r="A37" s="290"/>
      <c r="B37" s="55">
        <v>34</v>
      </c>
      <c r="C37" s="19"/>
      <c r="D37" s="19"/>
      <c r="E37" s="19"/>
      <c r="F37" s="21"/>
      <c r="G37" s="19"/>
      <c r="H37" s="19"/>
      <c r="I37" s="19"/>
      <c r="J37" s="19"/>
    </row>
    <row r="38" spans="1:10" x14ac:dyDescent="0.5">
      <c r="A38" s="290"/>
      <c r="B38" s="55">
        <v>35</v>
      </c>
      <c r="C38" s="19"/>
      <c r="D38" s="19"/>
      <c r="E38" s="19"/>
      <c r="F38" s="21"/>
      <c r="G38" s="19"/>
      <c r="H38" s="19"/>
      <c r="I38" s="19"/>
      <c r="J38" s="19"/>
    </row>
    <row r="39" spans="1:10" x14ac:dyDescent="0.5">
      <c r="A39" s="290"/>
      <c r="B39" s="55">
        <v>36</v>
      </c>
      <c r="C39" s="19"/>
      <c r="D39" s="19"/>
      <c r="E39" s="19"/>
      <c r="F39" s="21"/>
      <c r="G39" s="19"/>
      <c r="H39" s="19"/>
      <c r="I39" s="19"/>
      <c r="J39" s="19"/>
    </row>
    <row r="40" spans="1:10" x14ac:dyDescent="0.5">
      <c r="A40" s="290"/>
      <c r="B40" s="55">
        <v>37</v>
      </c>
      <c r="C40" s="19"/>
      <c r="D40" s="19"/>
      <c r="E40" s="19"/>
      <c r="F40" s="21"/>
      <c r="G40" s="19"/>
      <c r="H40" s="19"/>
      <c r="I40" s="19"/>
      <c r="J40" s="19"/>
    </row>
    <row r="41" spans="1:10" x14ac:dyDescent="0.5">
      <c r="A41" s="290"/>
      <c r="B41" s="55">
        <v>38</v>
      </c>
      <c r="C41" s="19"/>
      <c r="D41" s="19"/>
      <c r="E41" s="19"/>
      <c r="F41" s="21"/>
      <c r="G41" s="19"/>
      <c r="H41" s="19"/>
      <c r="I41" s="19"/>
      <c r="J41" s="19"/>
    </row>
    <row r="42" spans="1:10" x14ac:dyDescent="0.5">
      <c r="A42" s="290"/>
      <c r="B42" s="55">
        <v>39</v>
      </c>
      <c r="C42" s="19"/>
      <c r="D42" s="19"/>
      <c r="E42" s="19"/>
      <c r="F42" s="21"/>
      <c r="G42" s="19"/>
      <c r="H42" s="19"/>
      <c r="I42" s="19"/>
      <c r="J42" s="19"/>
    </row>
    <row r="43" spans="1:10" x14ac:dyDescent="0.5">
      <c r="A43" s="290"/>
      <c r="B43" s="55">
        <v>40</v>
      </c>
      <c r="C43" s="19"/>
      <c r="D43" s="19"/>
      <c r="E43" s="19"/>
      <c r="F43" s="21"/>
      <c r="G43" s="19"/>
      <c r="H43" s="19"/>
      <c r="I43" s="19"/>
      <c r="J43" s="19"/>
    </row>
    <row r="44" spans="1:10" x14ac:dyDescent="0.5">
      <c r="A44" s="290"/>
      <c r="B44" s="55">
        <v>41</v>
      </c>
      <c r="C44" s="19"/>
      <c r="D44" s="19"/>
      <c r="E44" s="19"/>
      <c r="F44" s="21"/>
      <c r="G44" s="19"/>
      <c r="H44" s="19"/>
      <c r="I44" s="19"/>
      <c r="J44" s="19"/>
    </row>
    <row r="45" spans="1:10" x14ac:dyDescent="0.5">
      <c r="A45" s="290"/>
      <c r="B45" s="55">
        <v>42</v>
      </c>
      <c r="C45" s="19"/>
      <c r="D45" s="19"/>
      <c r="E45" s="19"/>
      <c r="F45" s="21"/>
      <c r="G45" s="19"/>
      <c r="H45" s="19"/>
      <c r="I45" s="19"/>
      <c r="J45" s="19"/>
    </row>
    <row r="46" spans="1:10" x14ac:dyDescent="0.5">
      <c r="A46" s="290"/>
      <c r="B46" s="55">
        <v>43</v>
      </c>
      <c r="C46" s="19"/>
      <c r="D46" s="19"/>
      <c r="E46" s="19"/>
      <c r="F46" s="21"/>
      <c r="G46" s="19"/>
      <c r="H46" s="19"/>
      <c r="I46" s="19"/>
      <c r="J46" s="19"/>
    </row>
    <row r="47" spans="1:10" x14ac:dyDescent="0.5">
      <c r="A47" s="290"/>
      <c r="B47" s="55">
        <v>44</v>
      </c>
      <c r="C47" s="19"/>
      <c r="D47" s="19"/>
      <c r="E47" s="19"/>
      <c r="F47" s="21"/>
      <c r="G47" s="19"/>
      <c r="H47" s="19"/>
      <c r="I47" s="19"/>
      <c r="J47" s="19"/>
    </row>
    <row r="48" spans="1:10" x14ac:dyDescent="0.5">
      <c r="A48" s="290"/>
      <c r="B48" s="55">
        <v>45</v>
      </c>
      <c r="C48" s="19"/>
      <c r="D48" s="19"/>
      <c r="E48" s="19"/>
      <c r="F48" s="21"/>
      <c r="G48" s="19"/>
      <c r="H48" s="19"/>
      <c r="I48" s="19"/>
      <c r="J48" s="19"/>
    </row>
    <row r="49" spans="2:10" x14ac:dyDescent="0.5">
      <c r="B49" s="55">
        <v>46</v>
      </c>
      <c r="C49" s="19"/>
      <c r="D49" s="19"/>
      <c r="E49" s="19"/>
      <c r="F49" s="21"/>
      <c r="G49" s="19"/>
      <c r="H49" s="19"/>
      <c r="I49" s="19"/>
      <c r="J49" s="19"/>
    </row>
    <row r="50" spans="2:10" x14ac:dyDescent="0.5">
      <c r="B50" s="55">
        <v>47</v>
      </c>
      <c r="C50" s="19"/>
      <c r="D50" s="19"/>
      <c r="E50" s="19"/>
      <c r="F50" s="21"/>
      <c r="G50" s="19"/>
      <c r="H50" s="19"/>
      <c r="I50" s="19"/>
      <c r="J50" s="19"/>
    </row>
    <row r="51" spans="2:10" x14ac:dyDescent="0.5">
      <c r="B51" s="55">
        <v>48</v>
      </c>
      <c r="C51" s="19"/>
      <c r="D51" s="19"/>
      <c r="E51" s="19"/>
      <c r="F51" s="21"/>
      <c r="G51" s="19"/>
      <c r="H51" s="19"/>
      <c r="I51" s="19"/>
      <c r="J51" s="19"/>
    </row>
    <row r="52" spans="2:10" x14ac:dyDescent="0.5">
      <c r="B52" s="55">
        <v>49</v>
      </c>
      <c r="C52" s="19"/>
      <c r="D52" s="19"/>
      <c r="E52" s="19"/>
      <c r="F52" s="21"/>
      <c r="G52" s="19"/>
      <c r="H52" s="19"/>
      <c r="I52" s="19"/>
      <c r="J52" s="19"/>
    </row>
    <row r="53" spans="2:10" x14ac:dyDescent="0.5">
      <c r="B53" s="55">
        <v>50</v>
      </c>
      <c r="C53" s="19"/>
      <c r="D53" s="19"/>
      <c r="E53" s="19"/>
      <c r="F53" s="21"/>
      <c r="G53" s="19"/>
      <c r="H53" s="19"/>
      <c r="I53" s="19"/>
      <c r="J53" s="19"/>
    </row>
    <row r="54" spans="2:10" x14ac:dyDescent="0.5">
      <c r="B54" s="55">
        <v>51</v>
      </c>
      <c r="C54" s="19"/>
      <c r="D54" s="19"/>
      <c r="E54" s="19"/>
      <c r="F54" s="21"/>
      <c r="G54" s="19"/>
      <c r="H54" s="19"/>
      <c r="I54" s="19"/>
      <c r="J54" s="19"/>
    </row>
    <row r="55" spans="2:10" x14ac:dyDescent="0.5">
      <c r="B55" s="55">
        <v>52</v>
      </c>
      <c r="C55" s="19"/>
      <c r="D55" s="19"/>
      <c r="E55" s="19"/>
      <c r="F55" s="21"/>
      <c r="G55" s="19"/>
      <c r="H55" s="19"/>
      <c r="I55" s="19"/>
      <c r="J55" s="19"/>
    </row>
    <row r="56" spans="2:10" x14ac:dyDescent="0.5">
      <c r="B56" s="55">
        <v>53</v>
      </c>
      <c r="C56" s="19"/>
      <c r="D56" s="19"/>
      <c r="E56" s="19"/>
      <c r="F56" s="21"/>
      <c r="G56" s="19"/>
      <c r="H56" s="19"/>
      <c r="I56" s="19" t="s">
        <v>12</v>
      </c>
      <c r="J56" s="19" t="s">
        <v>12</v>
      </c>
    </row>
    <row r="57" spans="2:10" x14ac:dyDescent="0.5">
      <c r="B57" s="55">
        <v>54</v>
      </c>
      <c r="C57" s="19"/>
      <c r="D57" s="19" t="s">
        <v>12</v>
      </c>
      <c r="E57" s="19" t="s">
        <v>12</v>
      </c>
      <c r="F57" s="21" t="s">
        <v>12</v>
      </c>
      <c r="G57" s="19" t="s">
        <v>12</v>
      </c>
      <c r="H57" s="19" t="s">
        <v>12</v>
      </c>
      <c r="I57" s="19" t="s">
        <v>12</v>
      </c>
      <c r="J57" s="19" t="s">
        <v>12</v>
      </c>
    </row>
    <row r="58" spans="2:10" x14ac:dyDescent="0.5">
      <c r="B58" s="55">
        <v>55</v>
      </c>
      <c r="C58" s="19"/>
      <c r="D58" s="19" t="s">
        <v>12</v>
      </c>
      <c r="E58" s="19" t="s">
        <v>12</v>
      </c>
      <c r="F58" s="21" t="s">
        <v>12</v>
      </c>
      <c r="G58" s="19" t="s">
        <v>12</v>
      </c>
      <c r="H58" s="19" t="s">
        <v>12</v>
      </c>
      <c r="I58" s="19" t="s">
        <v>12</v>
      </c>
      <c r="J58" s="19" t="s">
        <v>12</v>
      </c>
    </row>
    <row r="59" spans="2:10" x14ac:dyDescent="0.5">
      <c r="B59" s="55">
        <v>56</v>
      </c>
      <c r="C59" s="19"/>
      <c r="D59" s="19" t="s">
        <v>12</v>
      </c>
      <c r="E59" s="19" t="s">
        <v>12</v>
      </c>
      <c r="F59" s="21" t="s">
        <v>12</v>
      </c>
      <c r="G59" s="19" t="s">
        <v>12</v>
      </c>
      <c r="H59" s="19" t="s">
        <v>12</v>
      </c>
      <c r="I59" s="19" t="s">
        <v>12</v>
      </c>
      <c r="J59" s="19" t="s">
        <v>12</v>
      </c>
    </row>
    <row r="60" spans="2:10" x14ac:dyDescent="0.5">
      <c r="B60" s="55">
        <v>57</v>
      </c>
      <c r="C60" s="19"/>
      <c r="D60" s="19" t="s">
        <v>12</v>
      </c>
      <c r="E60" s="19" t="s">
        <v>12</v>
      </c>
      <c r="F60" s="21" t="s">
        <v>12</v>
      </c>
      <c r="G60" s="19" t="s">
        <v>12</v>
      </c>
      <c r="H60" s="19" t="s">
        <v>12</v>
      </c>
      <c r="I60" s="19" t="s">
        <v>12</v>
      </c>
      <c r="J60" s="19" t="s">
        <v>12</v>
      </c>
    </row>
    <row r="61" spans="2:10" x14ac:dyDescent="0.5">
      <c r="B61" s="55">
        <v>58</v>
      </c>
      <c r="C61" s="19"/>
      <c r="D61" s="19" t="s">
        <v>12</v>
      </c>
      <c r="E61" s="19" t="s">
        <v>12</v>
      </c>
      <c r="F61" s="21" t="s">
        <v>12</v>
      </c>
      <c r="G61" s="19" t="s">
        <v>12</v>
      </c>
      <c r="H61" s="19" t="s">
        <v>12</v>
      </c>
      <c r="I61" s="19" t="s">
        <v>12</v>
      </c>
      <c r="J61" s="19" t="s">
        <v>12</v>
      </c>
    </row>
    <row r="62" spans="2:10" x14ac:dyDescent="0.5">
      <c r="B62" s="55">
        <v>59</v>
      </c>
      <c r="C62" s="19"/>
      <c r="D62" s="19" t="s">
        <v>12</v>
      </c>
      <c r="E62" s="19" t="s">
        <v>12</v>
      </c>
      <c r="F62" s="21" t="s">
        <v>12</v>
      </c>
      <c r="G62" s="19" t="s">
        <v>12</v>
      </c>
      <c r="H62" s="19" t="s">
        <v>12</v>
      </c>
      <c r="I62" s="19" t="s">
        <v>12</v>
      </c>
      <c r="J62" s="19" t="s">
        <v>12</v>
      </c>
    </row>
    <row r="63" spans="2:10" x14ac:dyDescent="0.5">
      <c r="B63" s="55">
        <v>60</v>
      </c>
      <c r="C63" s="19"/>
      <c r="D63" s="19" t="s">
        <v>12</v>
      </c>
      <c r="E63" s="19" t="s">
        <v>12</v>
      </c>
      <c r="F63" s="21" t="s">
        <v>12</v>
      </c>
      <c r="G63" s="19" t="s">
        <v>12</v>
      </c>
      <c r="H63" s="19" t="s">
        <v>12</v>
      </c>
      <c r="I63" s="19" t="s">
        <v>12</v>
      </c>
      <c r="J63" s="19" t="s">
        <v>12</v>
      </c>
    </row>
    <row r="64" spans="2:10" x14ac:dyDescent="0.5">
      <c r="B64" s="55">
        <v>61</v>
      </c>
      <c r="C64" s="19"/>
      <c r="D64" s="19"/>
      <c r="E64" s="19"/>
      <c r="F64" s="21"/>
      <c r="G64" s="19"/>
      <c r="H64" s="19"/>
      <c r="I64" s="19"/>
      <c r="J64" s="19"/>
    </row>
    <row r="65" spans="2:10" x14ac:dyDescent="0.5">
      <c r="B65" s="55">
        <v>62</v>
      </c>
      <c r="C65" s="19"/>
      <c r="D65" s="19"/>
      <c r="E65" s="19"/>
      <c r="F65" s="21"/>
      <c r="G65" s="19"/>
      <c r="H65" s="19"/>
      <c r="I65" s="19"/>
      <c r="J65" s="19"/>
    </row>
    <row r="66" spans="2:10" x14ac:dyDescent="0.5">
      <c r="B66" s="55">
        <v>63</v>
      </c>
      <c r="C66" s="19"/>
      <c r="D66" s="19"/>
      <c r="E66" s="19"/>
      <c r="F66" s="21"/>
      <c r="G66" s="19"/>
      <c r="H66" s="19"/>
      <c r="I66" s="19"/>
      <c r="J66" s="19"/>
    </row>
    <row r="67" spans="2:10" x14ac:dyDescent="0.5">
      <c r="B67" s="55">
        <v>64</v>
      </c>
      <c r="C67" s="19"/>
      <c r="D67" s="19"/>
      <c r="E67" s="19"/>
      <c r="F67" s="21"/>
      <c r="G67" s="19"/>
      <c r="H67" s="19"/>
      <c r="I67" s="19"/>
      <c r="J67" s="19"/>
    </row>
    <row r="68" spans="2:10" x14ac:dyDescent="0.5">
      <c r="B68" s="55">
        <v>65</v>
      </c>
      <c r="C68" s="19"/>
      <c r="D68" s="19"/>
      <c r="E68" s="19"/>
      <c r="F68" s="21"/>
      <c r="G68" s="19"/>
      <c r="H68" s="19"/>
      <c r="I68" s="19"/>
      <c r="J68" s="19"/>
    </row>
    <row r="69" spans="2:10" x14ac:dyDescent="0.5">
      <c r="B69" s="55">
        <v>66</v>
      </c>
      <c r="C69" s="19"/>
      <c r="D69" s="19"/>
      <c r="E69" s="19"/>
      <c r="F69" s="21"/>
      <c r="G69" s="19"/>
      <c r="H69" s="19"/>
      <c r="I69" s="19"/>
      <c r="J69" s="19"/>
    </row>
    <row r="70" spans="2:10" x14ac:dyDescent="0.5">
      <c r="B70" s="55">
        <v>67</v>
      </c>
      <c r="C70" s="19"/>
      <c r="D70" s="19"/>
      <c r="E70" s="19"/>
      <c r="F70" s="21"/>
      <c r="G70" s="19"/>
      <c r="H70" s="19"/>
      <c r="I70" s="19"/>
      <c r="J70" s="19"/>
    </row>
    <row r="71" spans="2:10" x14ac:dyDescent="0.5">
      <c r="B71" s="55">
        <v>68</v>
      </c>
      <c r="C71" s="19"/>
      <c r="D71" s="19"/>
      <c r="E71" s="19"/>
      <c r="F71" s="21"/>
      <c r="G71" s="19"/>
      <c r="H71" s="19"/>
      <c r="I71" s="19"/>
      <c r="J71" s="19"/>
    </row>
    <row r="72" spans="2:10" x14ac:dyDescent="0.5">
      <c r="B72" s="55">
        <v>69</v>
      </c>
      <c r="C72" s="19"/>
      <c r="D72" s="19"/>
      <c r="E72" s="19"/>
      <c r="F72" s="21"/>
      <c r="G72" s="19"/>
      <c r="H72" s="19"/>
      <c r="I72" s="19"/>
      <c r="J72" s="19"/>
    </row>
    <row r="73" spans="2:10" x14ac:dyDescent="0.5">
      <c r="B73" s="55">
        <v>70</v>
      </c>
      <c r="C73" s="19"/>
      <c r="D73" s="19"/>
      <c r="E73" s="19"/>
      <c r="F73" s="21"/>
      <c r="G73" s="19"/>
      <c r="H73" s="19"/>
      <c r="I73" s="19"/>
      <c r="J73" s="19"/>
    </row>
    <row r="74" spans="2:10" x14ac:dyDescent="0.5">
      <c r="B74" s="55">
        <v>71</v>
      </c>
      <c r="C74" s="19"/>
      <c r="D74" s="19"/>
      <c r="E74" s="19"/>
      <c r="F74" s="21"/>
      <c r="G74" s="19"/>
      <c r="H74" s="19"/>
      <c r="I74" s="19"/>
      <c r="J74" s="19"/>
    </row>
    <row r="75" spans="2:10" x14ac:dyDescent="0.5">
      <c r="B75" s="55">
        <v>72</v>
      </c>
      <c r="C75" s="19"/>
      <c r="D75" s="19"/>
      <c r="E75" s="19"/>
      <c r="F75" s="21"/>
      <c r="G75" s="19"/>
      <c r="H75" s="19"/>
      <c r="I75" s="19"/>
      <c r="J75" s="19"/>
    </row>
    <row r="76" spans="2:10" x14ac:dyDescent="0.5">
      <c r="B76" s="55">
        <v>73</v>
      </c>
      <c r="C76" s="19"/>
      <c r="D76" s="19"/>
      <c r="E76" s="19"/>
      <c r="F76" s="21"/>
      <c r="G76" s="19"/>
      <c r="H76" s="19"/>
      <c r="I76" s="19"/>
      <c r="J76" s="19"/>
    </row>
    <row r="77" spans="2:10" x14ac:dyDescent="0.5">
      <c r="B77" s="55">
        <v>74</v>
      </c>
      <c r="C77" s="19"/>
      <c r="D77" s="19"/>
      <c r="E77" s="19"/>
      <c r="F77" s="21"/>
      <c r="G77" s="19"/>
      <c r="H77" s="19"/>
      <c r="I77" s="19"/>
      <c r="J77" s="19"/>
    </row>
    <row r="78" spans="2:10" x14ac:dyDescent="0.5">
      <c r="B78" s="55">
        <v>75</v>
      </c>
      <c r="C78" s="19"/>
      <c r="D78" s="19"/>
      <c r="E78" s="19"/>
      <c r="F78" s="21"/>
      <c r="G78" s="19"/>
      <c r="H78" s="19"/>
      <c r="I78" s="19"/>
      <c r="J78" s="19"/>
    </row>
    <row r="79" spans="2:10" x14ac:dyDescent="0.5">
      <c r="B79" s="55">
        <v>76</v>
      </c>
      <c r="C79" s="19"/>
      <c r="D79" s="19"/>
      <c r="E79" s="19"/>
      <c r="F79" s="21"/>
      <c r="G79" s="19"/>
      <c r="H79" s="19"/>
      <c r="I79" s="19"/>
      <c r="J79" s="19"/>
    </row>
    <row r="80" spans="2:10" x14ac:dyDescent="0.5">
      <c r="B80" s="55">
        <v>77</v>
      </c>
      <c r="C80" s="19"/>
      <c r="D80" s="19"/>
      <c r="E80" s="19"/>
      <c r="F80" s="21"/>
      <c r="G80" s="19"/>
      <c r="H80" s="19"/>
      <c r="I80" s="19"/>
      <c r="J80" s="19"/>
    </row>
    <row r="81" spans="2:10" x14ac:dyDescent="0.5">
      <c r="B81" s="55">
        <v>78</v>
      </c>
      <c r="C81" s="19"/>
      <c r="D81" s="19"/>
      <c r="E81" s="19"/>
      <c r="F81" s="21"/>
      <c r="G81" s="19"/>
      <c r="H81" s="19"/>
      <c r="I81" s="19"/>
      <c r="J81" s="19"/>
    </row>
    <row r="82" spans="2:10" x14ac:dyDescent="0.5">
      <c r="B82" s="55">
        <v>79</v>
      </c>
      <c r="C82" s="19"/>
      <c r="D82" s="19"/>
      <c r="E82" s="19"/>
      <c r="F82" s="21"/>
      <c r="G82" s="19"/>
      <c r="H82" s="19"/>
      <c r="I82" s="19"/>
      <c r="J82" s="19"/>
    </row>
    <row r="83" spans="2:10" x14ac:dyDescent="0.5">
      <c r="B83" s="55">
        <v>80</v>
      </c>
      <c r="C83" s="19"/>
      <c r="D83" s="19"/>
      <c r="E83" s="19"/>
      <c r="F83" s="21"/>
      <c r="G83" s="19"/>
      <c r="H83" s="19"/>
      <c r="I83" s="19"/>
      <c r="J83" s="19"/>
    </row>
    <row r="84" spans="2:10" x14ac:dyDescent="0.5">
      <c r="B84" s="55">
        <v>81</v>
      </c>
      <c r="C84" s="19"/>
      <c r="D84" s="19"/>
      <c r="E84" s="19"/>
      <c r="F84" s="21"/>
      <c r="G84" s="19"/>
      <c r="H84" s="19"/>
      <c r="I84" s="19"/>
      <c r="J84" s="19"/>
    </row>
    <row r="85" spans="2:10" x14ac:dyDescent="0.5">
      <c r="B85" s="55">
        <v>82</v>
      </c>
      <c r="C85" s="19"/>
      <c r="D85" s="19"/>
      <c r="E85" s="19"/>
      <c r="F85" s="21"/>
      <c r="G85" s="19"/>
      <c r="H85" s="19"/>
      <c r="I85" s="19"/>
      <c r="J85" s="19"/>
    </row>
    <row r="86" spans="2:10" x14ac:dyDescent="0.5">
      <c r="B86" s="55">
        <v>83</v>
      </c>
      <c r="C86" s="19"/>
      <c r="D86" s="19"/>
      <c r="E86" s="19"/>
      <c r="F86" s="21"/>
      <c r="G86" s="19"/>
      <c r="H86" s="19"/>
      <c r="I86" s="19"/>
      <c r="J86" s="19"/>
    </row>
    <row r="87" spans="2:10" x14ac:dyDescent="0.5">
      <c r="B87" s="55">
        <v>84</v>
      </c>
      <c r="C87" s="19"/>
      <c r="D87" s="19"/>
      <c r="E87" s="19"/>
      <c r="F87" s="21"/>
      <c r="G87" s="19"/>
      <c r="H87" s="19"/>
      <c r="I87" s="19"/>
      <c r="J87" s="19"/>
    </row>
    <row r="88" spans="2:10" x14ac:dyDescent="0.5">
      <c r="B88" s="55">
        <v>85</v>
      </c>
      <c r="C88" s="19"/>
      <c r="D88" s="19"/>
      <c r="E88" s="19"/>
      <c r="F88" s="21"/>
      <c r="G88" s="19"/>
      <c r="H88" s="19"/>
      <c r="I88" s="19"/>
      <c r="J88" s="19"/>
    </row>
    <row r="89" spans="2:10" x14ac:dyDescent="0.5">
      <c r="B89" s="55">
        <v>86</v>
      </c>
      <c r="C89" s="19"/>
      <c r="D89" s="19"/>
      <c r="E89" s="19"/>
      <c r="F89" s="21"/>
      <c r="G89" s="19"/>
      <c r="H89" s="19"/>
      <c r="I89" s="19"/>
      <c r="J89" s="19"/>
    </row>
    <row r="90" spans="2:10" x14ac:dyDescent="0.5">
      <c r="B90" s="55">
        <v>87</v>
      </c>
      <c r="C90" s="19"/>
      <c r="D90" s="19"/>
      <c r="E90" s="19"/>
      <c r="F90" s="21"/>
      <c r="G90" s="19"/>
      <c r="H90" s="19"/>
      <c r="I90" s="19"/>
      <c r="J90" s="19"/>
    </row>
    <row r="91" spans="2:10" x14ac:dyDescent="0.5">
      <c r="B91" s="55">
        <v>88</v>
      </c>
      <c r="C91" s="19"/>
      <c r="D91" s="19"/>
      <c r="E91" s="19"/>
      <c r="F91" s="21"/>
      <c r="G91" s="19"/>
      <c r="H91" s="19"/>
      <c r="I91" s="19"/>
      <c r="J91" s="19"/>
    </row>
    <row r="92" spans="2:10" x14ac:dyDescent="0.5">
      <c r="B92" s="55">
        <v>89</v>
      </c>
      <c r="C92" s="19"/>
      <c r="D92" s="19"/>
      <c r="E92" s="19"/>
      <c r="F92" s="21"/>
      <c r="G92" s="19"/>
      <c r="H92" s="19"/>
      <c r="I92" s="19"/>
      <c r="J92" s="19"/>
    </row>
    <row r="93" spans="2:10" x14ac:dyDescent="0.5">
      <c r="B93" s="55">
        <v>90</v>
      </c>
      <c r="C93" s="19"/>
      <c r="D93" s="19"/>
      <c r="E93" s="19"/>
      <c r="F93" s="21"/>
      <c r="G93" s="19"/>
      <c r="H93" s="19"/>
      <c r="I93" s="19"/>
      <c r="J93" s="19"/>
    </row>
    <row r="94" spans="2:10" x14ac:dyDescent="0.5">
      <c r="B94" s="55">
        <v>91</v>
      </c>
      <c r="C94" s="19"/>
      <c r="D94" s="19"/>
      <c r="E94" s="19"/>
      <c r="F94" s="21"/>
      <c r="G94" s="19"/>
      <c r="H94" s="19"/>
      <c r="I94" s="19"/>
      <c r="J94" s="19"/>
    </row>
    <row r="95" spans="2:10" x14ac:dyDescent="0.5">
      <c r="B95" s="55">
        <v>92</v>
      </c>
      <c r="C95" s="19"/>
      <c r="D95" s="19"/>
      <c r="E95" s="19"/>
      <c r="F95" s="21"/>
      <c r="G95" s="19"/>
      <c r="H95" s="19"/>
      <c r="I95" s="19"/>
      <c r="J95" s="19"/>
    </row>
    <row r="96" spans="2:10" x14ac:dyDescent="0.5">
      <c r="B96" s="55">
        <v>93</v>
      </c>
      <c r="C96" s="19"/>
      <c r="D96" s="19"/>
      <c r="E96" s="19"/>
      <c r="F96" s="21"/>
      <c r="G96" s="19"/>
      <c r="H96" s="19"/>
      <c r="I96" s="19"/>
      <c r="J96" s="19"/>
    </row>
    <row r="97" spans="2:10" x14ac:dyDescent="0.5">
      <c r="B97" s="55">
        <v>94</v>
      </c>
      <c r="C97" s="19"/>
      <c r="D97" s="19"/>
      <c r="E97" s="19"/>
      <c r="F97" s="21"/>
      <c r="G97" s="19"/>
      <c r="H97" s="19"/>
      <c r="I97" s="19"/>
      <c r="J97" s="19"/>
    </row>
    <row r="98" spans="2:10" x14ac:dyDescent="0.5">
      <c r="B98" s="55">
        <v>95</v>
      </c>
      <c r="C98" s="19"/>
      <c r="D98" s="19"/>
      <c r="E98" s="19"/>
      <c r="F98" s="21"/>
      <c r="G98" s="19"/>
      <c r="H98" s="19"/>
      <c r="I98" s="19"/>
      <c r="J98" s="19"/>
    </row>
    <row r="99" spans="2:10" x14ac:dyDescent="0.5">
      <c r="B99" s="55">
        <v>96</v>
      </c>
      <c r="C99" s="19"/>
      <c r="D99" s="19"/>
      <c r="E99" s="19"/>
      <c r="F99" s="21"/>
      <c r="G99" s="19"/>
      <c r="H99" s="19"/>
      <c r="I99" s="19"/>
      <c r="J99" s="19"/>
    </row>
    <row r="100" spans="2:10" x14ac:dyDescent="0.5">
      <c r="B100" s="55">
        <v>97</v>
      </c>
      <c r="C100" s="19"/>
      <c r="D100" s="19"/>
      <c r="E100" s="19"/>
      <c r="F100" s="21"/>
      <c r="G100" s="19"/>
      <c r="H100" s="19"/>
      <c r="I100" s="19"/>
      <c r="J100" s="19"/>
    </row>
    <row r="101" spans="2:10" x14ac:dyDescent="0.5">
      <c r="B101" s="55">
        <v>98</v>
      </c>
      <c r="C101" s="19"/>
      <c r="D101" s="19"/>
      <c r="E101" s="19"/>
      <c r="F101" s="21"/>
      <c r="G101" s="19"/>
      <c r="H101" s="19"/>
      <c r="I101" s="19"/>
      <c r="J101" s="19"/>
    </row>
    <row r="102" spans="2:10" x14ac:dyDescent="0.5">
      <c r="B102" s="55">
        <v>99</v>
      </c>
      <c r="C102" s="19"/>
      <c r="D102" s="19"/>
      <c r="E102" s="19"/>
      <c r="F102" s="21"/>
      <c r="G102" s="19"/>
      <c r="H102" s="19"/>
      <c r="I102" s="19"/>
      <c r="J102" s="19"/>
    </row>
    <row r="103" spans="2:10" x14ac:dyDescent="0.5">
      <c r="B103" s="55">
        <v>100</v>
      </c>
      <c r="C103" s="19"/>
      <c r="D103" s="19"/>
      <c r="E103" s="19"/>
      <c r="F103" s="21"/>
      <c r="G103" s="19"/>
      <c r="H103" s="19"/>
      <c r="I103" s="19"/>
      <c r="J103" s="19"/>
    </row>
    <row r="104" spans="2:10" x14ac:dyDescent="0.5">
      <c r="B104" s="55">
        <v>101</v>
      </c>
      <c r="C104" s="19"/>
      <c r="D104" s="19"/>
      <c r="E104" s="19"/>
      <c r="F104" s="21"/>
      <c r="G104" s="19"/>
      <c r="H104" s="19"/>
      <c r="I104" s="19"/>
      <c r="J104" s="19"/>
    </row>
    <row r="105" spans="2:10" x14ac:dyDescent="0.5">
      <c r="B105" s="55">
        <v>102</v>
      </c>
      <c r="C105" s="19"/>
      <c r="D105" s="19"/>
      <c r="E105" s="19"/>
      <c r="F105" s="21"/>
      <c r="G105" s="19"/>
      <c r="H105" s="19"/>
      <c r="I105" s="19"/>
      <c r="J105" s="19"/>
    </row>
    <row r="106" spans="2:10" x14ac:dyDescent="0.5">
      <c r="B106" s="55">
        <v>103</v>
      </c>
      <c r="C106" s="19"/>
      <c r="D106" s="19"/>
      <c r="E106" s="19"/>
      <c r="F106" s="21"/>
      <c r="G106" s="19"/>
      <c r="H106" s="19"/>
      <c r="I106" s="19"/>
      <c r="J106" s="19"/>
    </row>
    <row r="107" spans="2:10" x14ac:dyDescent="0.5">
      <c r="B107" s="55">
        <v>104</v>
      </c>
      <c r="C107" s="19"/>
      <c r="D107" s="19"/>
      <c r="E107" s="19"/>
      <c r="F107" s="21"/>
      <c r="G107" s="19"/>
      <c r="H107" s="19"/>
      <c r="I107" s="19"/>
      <c r="J107" s="19"/>
    </row>
    <row r="108" spans="2:10" x14ac:dyDescent="0.5">
      <c r="B108" s="55">
        <v>105</v>
      </c>
      <c r="C108" s="19"/>
      <c r="D108" s="19"/>
      <c r="E108" s="19"/>
      <c r="F108" s="21"/>
      <c r="G108" s="19"/>
      <c r="H108" s="19"/>
      <c r="I108" s="19"/>
      <c r="J108" s="19"/>
    </row>
    <row r="109" spans="2:10" x14ac:dyDescent="0.5">
      <c r="B109" s="55">
        <v>106</v>
      </c>
      <c r="C109" s="19"/>
      <c r="D109" s="19"/>
      <c r="E109" s="19"/>
      <c r="F109" s="21"/>
      <c r="G109" s="19"/>
      <c r="H109" s="19"/>
      <c r="I109" s="19"/>
      <c r="J109" s="19"/>
    </row>
    <row r="110" spans="2:10" x14ac:dyDescent="0.5">
      <c r="B110" s="55">
        <v>107</v>
      </c>
      <c r="C110" s="19"/>
      <c r="D110" s="19"/>
      <c r="E110" s="19"/>
      <c r="F110" s="21"/>
      <c r="G110" s="19"/>
      <c r="H110" s="19"/>
      <c r="I110" s="19"/>
      <c r="J110" s="19"/>
    </row>
    <row r="111" spans="2:10" x14ac:dyDescent="0.5">
      <c r="B111" s="55">
        <v>108</v>
      </c>
      <c r="C111" s="19"/>
      <c r="D111" s="19"/>
      <c r="E111" s="19"/>
      <c r="F111" s="21"/>
      <c r="G111" s="19"/>
      <c r="H111" s="19"/>
      <c r="I111" s="19"/>
      <c r="J111" s="19"/>
    </row>
    <row r="112" spans="2:10" x14ac:dyDescent="0.5">
      <c r="B112" s="55">
        <v>109</v>
      </c>
      <c r="C112" s="19"/>
      <c r="D112" s="19"/>
      <c r="E112" s="19"/>
      <c r="F112" s="21"/>
      <c r="G112" s="19"/>
      <c r="H112" s="19"/>
      <c r="I112" s="19"/>
      <c r="J112" s="19"/>
    </row>
    <row r="113" spans="2:10" x14ac:dyDescent="0.5">
      <c r="B113" s="55">
        <v>110</v>
      </c>
      <c r="C113" s="19"/>
      <c r="D113" s="19"/>
      <c r="E113" s="19"/>
      <c r="F113" s="21"/>
      <c r="G113" s="19"/>
      <c r="H113" s="19"/>
      <c r="I113" s="19"/>
      <c r="J113" s="19"/>
    </row>
    <row r="114" spans="2:10" x14ac:dyDescent="0.5">
      <c r="B114" s="55">
        <v>111</v>
      </c>
      <c r="C114" s="19"/>
      <c r="D114" s="19"/>
      <c r="E114" s="19"/>
      <c r="F114" s="21"/>
      <c r="G114" s="19"/>
      <c r="H114" s="19"/>
      <c r="I114" s="19"/>
      <c r="J114" s="19"/>
    </row>
    <row r="115" spans="2:10" x14ac:dyDescent="0.5">
      <c r="B115" s="55">
        <v>112</v>
      </c>
      <c r="C115" s="19"/>
      <c r="D115" s="19"/>
      <c r="E115" s="19"/>
      <c r="F115" s="21"/>
      <c r="G115" s="19"/>
      <c r="H115" s="19"/>
      <c r="I115" s="19"/>
      <c r="J115" s="19"/>
    </row>
  </sheetData>
  <mergeCells count="3">
    <mergeCell ref="A1:I1"/>
    <mergeCell ref="A2:A1048576"/>
    <mergeCell ref="B2:J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8">
    <tabColor theme="8" tint="-0.499984740745262"/>
  </sheetPr>
  <dimension ref="A1:R157"/>
  <sheetViews>
    <sheetView topLeftCell="A31" zoomScale="40" zoomScaleNormal="40" workbookViewId="0">
      <selection activeCell="B45" sqref="B4:G45"/>
    </sheetView>
  </sheetViews>
  <sheetFormatPr defaultColWidth="0" defaultRowHeight="31.5" x14ac:dyDescent="0.5"/>
  <cols>
    <col min="1" max="1" width="103.85546875" style="279" customWidth="1"/>
    <col min="2" max="2" width="28.85546875" style="117" customWidth="1"/>
    <col min="3" max="3" width="79.5703125" style="4" bestFit="1" customWidth="1"/>
    <col min="4" max="4" width="49.5703125" style="23" customWidth="1"/>
    <col min="5" max="5" width="68.42578125" style="26" bestFit="1" customWidth="1"/>
    <col min="6" max="6" width="64.28515625" style="82" customWidth="1"/>
    <col min="7" max="7" width="49.42578125" style="4" customWidth="1"/>
    <col min="8" max="8" width="49.140625" style="4" customWidth="1"/>
    <col min="9" max="9" width="77.42578125" style="4" customWidth="1"/>
    <col min="10" max="16384" width="9.140625" style="4" hidden="1"/>
  </cols>
  <sheetData>
    <row r="1" spans="1:18" ht="397.5" customHeight="1" thickBot="1" x14ac:dyDescent="0.55000000000000004">
      <c r="A1" s="293"/>
      <c r="B1" s="294"/>
      <c r="C1" s="294"/>
      <c r="D1" s="294"/>
      <c r="E1" s="294"/>
      <c r="F1" s="294"/>
      <c r="G1" s="294"/>
      <c r="H1" s="294"/>
      <c r="I1" s="295"/>
    </row>
    <row r="2" spans="1:18" customFormat="1" ht="112.5" customHeight="1" thickBot="1" x14ac:dyDescent="0.55000000000000004">
      <c r="A2" s="279"/>
      <c r="B2" s="296" t="s">
        <v>91</v>
      </c>
      <c r="C2" s="297"/>
      <c r="D2" s="92" t="s">
        <v>89</v>
      </c>
      <c r="E2" s="83">
        <f>SUM(D4:D100)</f>
        <v>0</v>
      </c>
      <c r="F2" s="93" t="s">
        <v>90</v>
      </c>
      <c r="G2" s="90">
        <f>CAIXA!I2-RECIBOS!E2</f>
        <v>0</v>
      </c>
      <c r="H2" s="51"/>
      <c r="I2" s="51"/>
      <c r="L2" s="4"/>
      <c r="M2" s="4"/>
      <c r="N2" s="4"/>
      <c r="O2" s="4"/>
      <c r="P2" s="4"/>
      <c r="Q2" s="4"/>
      <c r="R2" s="4"/>
    </row>
    <row r="3" spans="1:18" customFormat="1" ht="51.75" customHeight="1" x14ac:dyDescent="0.5">
      <c r="A3" s="279"/>
      <c r="B3" s="116" t="s">
        <v>32</v>
      </c>
      <c r="C3" s="84" t="s">
        <v>33</v>
      </c>
      <c r="D3" s="85" t="s">
        <v>93</v>
      </c>
      <c r="E3" s="86" t="s">
        <v>42</v>
      </c>
      <c r="F3" s="87" t="s">
        <v>85</v>
      </c>
      <c r="G3" s="87" t="s">
        <v>86</v>
      </c>
      <c r="H3" s="4"/>
      <c r="I3" s="4"/>
      <c r="L3" s="4"/>
      <c r="M3" s="4"/>
      <c r="N3" s="4"/>
      <c r="O3" s="4"/>
      <c r="P3" s="4"/>
      <c r="Q3" s="4"/>
      <c r="R3" s="4"/>
    </row>
    <row r="4" spans="1:18" x14ac:dyDescent="0.5">
      <c r="A4" s="290"/>
      <c r="B4" s="89"/>
      <c r="C4" s="42"/>
      <c r="D4" s="43"/>
      <c r="E4" s="41"/>
      <c r="F4" s="88"/>
      <c r="G4" s="89"/>
    </row>
    <row r="5" spans="1:18" x14ac:dyDescent="0.5">
      <c r="A5" s="290"/>
      <c r="B5" s="89"/>
      <c r="C5" s="42"/>
      <c r="D5" s="43"/>
      <c r="E5" s="41"/>
      <c r="F5" s="88"/>
      <c r="G5" s="89"/>
    </row>
    <row r="6" spans="1:18" x14ac:dyDescent="0.5">
      <c r="A6" s="290"/>
      <c r="B6" s="89"/>
      <c r="C6" s="42"/>
      <c r="D6" s="43"/>
      <c r="E6" s="41"/>
      <c r="F6" s="88"/>
      <c r="G6" s="89"/>
    </row>
    <row r="7" spans="1:18" x14ac:dyDescent="0.5">
      <c r="A7" s="290"/>
      <c r="B7" s="89"/>
      <c r="C7" s="42"/>
      <c r="D7" s="43"/>
      <c r="E7" s="41"/>
      <c r="F7" s="88"/>
      <c r="G7" s="89"/>
    </row>
    <row r="8" spans="1:18" x14ac:dyDescent="0.5">
      <c r="A8" s="290"/>
      <c r="B8" s="89"/>
      <c r="C8" s="42"/>
      <c r="D8" s="43"/>
      <c r="E8" s="41"/>
      <c r="F8" s="88"/>
      <c r="G8" s="89"/>
    </row>
    <row r="9" spans="1:18" x14ac:dyDescent="0.5">
      <c r="A9" s="290"/>
      <c r="B9" s="89"/>
      <c r="C9" s="42"/>
      <c r="D9" s="43"/>
      <c r="E9" s="41"/>
      <c r="F9" s="88"/>
      <c r="G9" s="89"/>
    </row>
    <row r="10" spans="1:18" x14ac:dyDescent="0.5">
      <c r="A10" s="290"/>
      <c r="B10" s="89"/>
      <c r="C10" s="42"/>
      <c r="D10" s="43"/>
      <c r="E10" s="41"/>
      <c r="F10" s="88"/>
      <c r="G10" s="89"/>
    </row>
    <row r="11" spans="1:18" x14ac:dyDescent="0.5">
      <c r="A11" s="290"/>
      <c r="B11" s="89"/>
      <c r="C11" s="42"/>
      <c r="D11" s="43"/>
      <c r="E11" s="41"/>
      <c r="F11" s="88"/>
      <c r="G11" s="89"/>
    </row>
    <row r="12" spans="1:18" x14ac:dyDescent="0.5">
      <c r="A12" s="290"/>
      <c r="E12" s="41"/>
      <c r="F12" s="88"/>
      <c r="G12" s="89"/>
    </row>
    <row r="13" spans="1:18" x14ac:dyDescent="0.5">
      <c r="A13" s="290"/>
      <c r="B13" s="89"/>
      <c r="C13" s="42"/>
      <c r="D13" s="43"/>
      <c r="E13" s="41"/>
      <c r="F13" s="88"/>
      <c r="G13" s="89"/>
    </row>
    <row r="14" spans="1:18" x14ac:dyDescent="0.5">
      <c r="A14" s="290"/>
      <c r="B14" s="89"/>
      <c r="C14" s="42"/>
      <c r="D14" s="43"/>
      <c r="E14" s="41"/>
      <c r="F14" s="88"/>
      <c r="G14" s="89"/>
    </row>
    <row r="15" spans="1:18" x14ac:dyDescent="0.5">
      <c r="A15" s="290"/>
      <c r="B15" s="89"/>
      <c r="C15" s="42"/>
      <c r="D15" s="43"/>
      <c r="E15" s="41"/>
      <c r="F15" s="88"/>
      <c r="G15" s="89"/>
    </row>
    <row r="16" spans="1:18" x14ac:dyDescent="0.5">
      <c r="A16" s="290"/>
      <c r="B16" s="89"/>
      <c r="C16" s="42"/>
      <c r="D16" s="43"/>
      <c r="E16" s="41"/>
      <c r="F16" s="88"/>
      <c r="G16" s="89"/>
    </row>
    <row r="17" spans="1:8" x14ac:dyDescent="0.5">
      <c r="A17" s="290"/>
      <c r="B17" s="89"/>
      <c r="C17" s="42"/>
      <c r="D17" s="43"/>
      <c r="E17" s="41"/>
      <c r="F17" s="88"/>
      <c r="G17" s="89"/>
    </row>
    <row r="18" spans="1:8" x14ac:dyDescent="0.5">
      <c r="A18" s="290"/>
      <c r="B18" s="89"/>
      <c r="C18" s="42"/>
      <c r="D18" s="43"/>
      <c r="E18" s="41"/>
      <c r="F18" s="88"/>
      <c r="G18" s="89"/>
    </row>
    <row r="19" spans="1:8" x14ac:dyDescent="0.5">
      <c r="A19" s="290"/>
      <c r="B19" s="89"/>
      <c r="C19" s="42"/>
      <c r="D19" s="43"/>
      <c r="E19" s="41"/>
      <c r="F19" s="88"/>
      <c r="G19" s="89"/>
    </row>
    <row r="20" spans="1:8" x14ac:dyDescent="0.5">
      <c r="A20" s="290"/>
      <c r="E20" s="41"/>
      <c r="F20" s="119"/>
      <c r="G20" s="117"/>
    </row>
    <row r="21" spans="1:8" x14ac:dyDescent="0.5">
      <c r="A21" s="290"/>
      <c r="B21" s="89"/>
      <c r="C21" s="42"/>
      <c r="D21" s="43"/>
      <c r="E21" s="41"/>
      <c r="F21" s="118"/>
      <c r="G21" s="88"/>
      <c r="H21" s="89"/>
    </row>
    <row r="22" spans="1:8" x14ac:dyDescent="0.5">
      <c r="A22" s="290"/>
      <c r="B22" s="89"/>
      <c r="C22" s="42"/>
      <c r="D22" s="43"/>
      <c r="E22" s="41"/>
      <c r="F22" s="118"/>
      <c r="G22" s="88"/>
      <c r="H22" s="89"/>
    </row>
    <row r="23" spans="1:8" x14ac:dyDescent="0.5">
      <c r="E23" s="41"/>
      <c r="F23" s="119"/>
      <c r="G23" s="82"/>
    </row>
    <row r="24" spans="1:8" x14ac:dyDescent="0.5">
      <c r="B24" s="89"/>
      <c r="C24" s="42"/>
      <c r="D24" s="43"/>
      <c r="E24" s="41"/>
      <c r="F24" s="118"/>
      <c r="G24" s="118"/>
    </row>
    <row r="25" spans="1:8" x14ac:dyDescent="0.5">
      <c r="B25" s="89"/>
      <c r="C25" s="42"/>
      <c r="D25" s="43"/>
      <c r="E25" s="41"/>
      <c r="F25" s="118"/>
      <c r="G25" s="118"/>
    </row>
    <row r="26" spans="1:8" x14ac:dyDescent="0.5">
      <c r="E26" s="41"/>
      <c r="F26" s="119"/>
      <c r="G26" s="82"/>
    </row>
    <row r="27" spans="1:8" x14ac:dyDescent="0.5">
      <c r="E27" s="41"/>
      <c r="F27" s="119"/>
      <c r="G27" s="82"/>
    </row>
    <row r="28" spans="1:8" x14ac:dyDescent="0.5">
      <c r="E28" s="41"/>
      <c r="F28" s="119"/>
      <c r="G28" s="82"/>
    </row>
    <row r="29" spans="1:8" x14ac:dyDescent="0.5">
      <c r="E29" s="41"/>
      <c r="F29" s="119"/>
      <c r="G29" s="82"/>
    </row>
    <row r="30" spans="1:8" x14ac:dyDescent="0.5">
      <c r="E30" s="41"/>
      <c r="F30" s="119"/>
      <c r="G30" s="82"/>
    </row>
    <row r="31" spans="1:8" x14ac:dyDescent="0.5">
      <c r="E31" s="41"/>
      <c r="F31" s="119"/>
      <c r="G31" s="82"/>
    </row>
    <row r="32" spans="1:8" x14ac:dyDescent="0.5">
      <c r="E32" s="41"/>
      <c r="F32" s="119"/>
      <c r="G32" s="82"/>
    </row>
    <row r="33" spans="5:7" x14ac:dyDescent="0.5">
      <c r="E33" s="41"/>
      <c r="F33" s="119"/>
      <c r="G33" s="82"/>
    </row>
    <row r="34" spans="5:7" x14ac:dyDescent="0.5">
      <c r="E34" s="41"/>
      <c r="F34" s="119"/>
      <c r="G34" s="82"/>
    </row>
    <row r="35" spans="5:7" x14ac:dyDescent="0.5">
      <c r="E35" s="41"/>
      <c r="F35" s="119"/>
      <c r="G35" s="82"/>
    </row>
    <row r="36" spans="5:7" x14ac:dyDescent="0.5">
      <c r="E36" s="41"/>
      <c r="F36" s="119"/>
      <c r="G36" s="82"/>
    </row>
    <row r="37" spans="5:7" x14ac:dyDescent="0.5">
      <c r="E37" s="41"/>
      <c r="F37" s="119"/>
      <c r="G37" s="117"/>
    </row>
    <row r="38" spans="5:7" x14ac:dyDescent="0.5">
      <c r="E38" s="41"/>
      <c r="F38" s="119"/>
      <c r="G38" s="117"/>
    </row>
    <row r="39" spans="5:7" x14ac:dyDescent="0.5">
      <c r="E39" s="41"/>
      <c r="F39" s="119"/>
      <c r="G39" s="117"/>
    </row>
    <row r="40" spans="5:7" x14ac:dyDescent="0.5">
      <c r="E40" s="41"/>
      <c r="F40" s="119"/>
      <c r="G40" s="117"/>
    </row>
    <row r="41" spans="5:7" x14ac:dyDescent="0.5">
      <c r="E41" s="41"/>
      <c r="F41" s="119"/>
      <c r="G41" s="117"/>
    </row>
    <row r="42" spans="5:7" x14ac:dyDescent="0.5">
      <c r="E42" s="41"/>
      <c r="F42" s="119"/>
      <c r="G42" s="117"/>
    </row>
    <row r="43" spans="5:7" x14ac:dyDescent="0.5">
      <c r="E43" s="41"/>
      <c r="G43" s="117"/>
    </row>
    <row r="44" spans="5:7" x14ac:dyDescent="0.5">
      <c r="E44" s="41"/>
      <c r="G44" s="117"/>
    </row>
    <row r="45" spans="5:7" x14ac:dyDescent="0.5">
      <c r="E45" s="41"/>
      <c r="G45" s="117"/>
    </row>
    <row r="46" spans="5:7" x14ac:dyDescent="0.5">
      <c r="E46" s="41"/>
      <c r="G46" s="117"/>
    </row>
    <row r="47" spans="5:7" x14ac:dyDescent="0.5">
      <c r="E47" s="41"/>
      <c r="G47" s="117"/>
    </row>
    <row r="48" spans="5:7" x14ac:dyDescent="0.5">
      <c r="E48" s="41"/>
      <c r="G48" s="117"/>
    </row>
    <row r="49" spans="5:7" x14ac:dyDescent="0.5">
      <c r="E49" s="41"/>
      <c r="G49" s="117"/>
    </row>
    <row r="50" spans="5:7" x14ac:dyDescent="0.5">
      <c r="E50" s="41"/>
      <c r="G50" s="117"/>
    </row>
    <row r="51" spans="5:7" x14ac:dyDescent="0.5">
      <c r="E51" s="41"/>
      <c r="G51" s="117"/>
    </row>
    <row r="52" spans="5:7" x14ac:dyDescent="0.5">
      <c r="E52" s="41"/>
      <c r="G52" s="117"/>
    </row>
    <row r="53" spans="5:7" x14ac:dyDescent="0.5">
      <c r="E53" s="41"/>
      <c r="G53" s="117"/>
    </row>
    <row r="54" spans="5:7" x14ac:dyDescent="0.5">
      <c r="E54" s="41"/>
      <c r="G54" s="117"/>
    </row>
    <row r="55" spans="5:7" x14ac:dyDescent="0.5">
      <c r="E55" s="41"/>
      <c r="G55" s="117"/>
    </row>
    <row r="56" spans="5:7" x14ac:dyDescent="0.5">
      <c r="E56" s="41"/>
      <c r="G56" s="117"/>
    </row>
    <row r="57" spans="5:7" x14ac:dyDescent="0.5">
      <c r="E57" s="41"/>
      <c r="G57" s="117"/>
    </row>
    <row r="58" spans="5:7" x14ac:dyDescent="0.5">
      <c r="E58" s="41"/>
      <c r="G58" s="117"/>
    </row>
    <row r="59" spans="5:7" x14ac:dyDescent="0.5">
      <c r="E59" s="41"/>
      <c r="G59" s="117"/>
    </row>
    <row r="60" spans="5:7" x14ac:dyDescent="0.5">
      <c r="E60" s="41"/>
      <c r="G60" s="117"/>
    </row>
    <row r="61" spans="5:7" x14ac:dyDescent="0.5">
      <c r="E61" s="41"/>
      <c r="G61" s="117"/>
    </row>
    <row r="62" spans="5:7" x14ac:dyDescent="0.5">
      <c r="E62" s="41"/>
      <c r="G62" s="117"/>
    </row>
    <row r="63" spans="5:7" x14ac:dyDescent="0.5">
      <c r="E63" s="41"/>
      <c r="G63" s="117"/>
    </row>
    <row r="64" spans="5:7" x14ac:dyDescent="0.5">
      <c r="E64" s="41"/>
      <c r="G64" s="117"/>
    </row>
    <row r="65" spans="5:7" x14ac:dyDescent="0.5">
      <c r="E65" s="41"/>
      <c r="G65" s="117"/>
    </row>
    <row r="66" spans="5:7" x14ac:dyDescent="0.5">
      <c r="E66" s="41"/>
      <c r="G66" s="117"/>
    </row>
    <row r="67" spans="5:7" x14ac:dyDescent="0.5">
      <c r="E67" s="41"/>
      <c r="G67" s="117"/>
    </row>
    <row r="68" spans="5:7" x14ac:dyDescent="0.5">
      <c r="E68" s="41"/>
      <c r="G68" s="117"/>
    </row>
    <row r="69" spans="5:7" x14ac:dyDescent="0.5">
      <c r="E69" s="41"/>
    </row>
    <row r="70" spans="5:7" x14ac:dyDescent="0.5">
      <c r="E70" s="41"/>
    </row>
    <row r="71" spans="5:7" x14ac:dyDescent="0.5">
      <c r="E71" s="41"/>
    </row>
    <row r="72" spans="5:7" x14ac:dyDescent="0.5">
      <c r="E72" s="41"/>
    </row>
    <row r="73" spans="5:7" x14ac:dyDescent="0.5">
      <c r="E73" s="41"/>
    </row>
    <row r="74" spans="5:7" x14ac:dyDescent="0.5">
      <c r="E74" s="41"/>
    </row>
    <row r="75" spans="5:7" x14ac:dyDescent="0.5">
      <c r="E75" s="41"/>
    </row>
    <row r="76" spans="5:7" x14ac:dyDescent="0.5">
      <c r="E76" s="41"/>
    </row>
    <row r="77" spans="5:7" x14ac:dyDescent="0.5">
      <c r="E77" s="41"/>
    </row>
    <row r="78" spans="5:7" x14ac:dyDescent="0.5">
      <c r="E78" s="41"/>
    </row>
    <row r="79" spans="5:7" x14ac:dyDescent="0.5">
      <c r="E79" s="41"/>
    </row>
    <row r="80" spans="5:7" x14ac:dyDescent="0.5">
      <c r="E80" s="41"/>
    </row>
    <row r="81" spans="5:5" x14ac:dyDescent="0.5">
      <c r="E81" s="41"/>
    </row>
    <row r="82" spans="5:5" x14ac:dyDescent="0.5">
      <c r="E82" s="41"/>
    </row>
    <row r="83" spans="5:5" x14ac:dyDescent="0.5">
      <c r="E83" s="41"/>
    </row>
    <row r="84" spans="5:5" x14ac:dyDescent="0.5">
      <c r="E84" s="41"/>
    </row>
    <row r="85" spans="5:5" x14ac:dyDescent="0.5">
      <c r="E85" s="41"/>
    </row>
    <row r="86" spans="5:5" x14ac:dyDescent="0.5">
      <c r="E86" s="41"/>
    </row>
    <row r="87" spans="5:5" x14ac:dyDescent="0.5">
      <c r="E87" s="41"/>
    </row>
    <row r="88" spans="5:5" x14ac:dyDescent="0.5">
      <c r="E88" s="41"/>
    </row>
    <row r="89" spans="5:5" x14ac:dyDescent="0.5">
      <c r="E89" s="41"/>
    </row>
    <row r="90" spans="5:5" x14ac:dyDescent="0.5">
      <c r="E90" s="41"/>
    </row>
    <row r="91" spans="5:5" x14ac:dyDescent="0.5">
      <c r="E91" s="41"/>
    </row>
    <row r="92" spans="5:5" x14ac:dyDescent="0.5">
      <c r="E92" s="41"/>
    </row>
    <row r="93" spans="5:5" x14ac:dyDescent="0.5">
      <c r="E93" s="41"/>
    </row>
    <row r="94" spans="5:5" x14ac:dyDescent="0.5">
      <c r="E94" s="41"/>
    </row>
    <row r="95" spans="5:5" x14ac:dyDescent="0.5">
      <c r="E95" s="41"/>
    </row>
    <row r="96" spans="5:5" x14ac:dyDescent="0.5">
      <c r="E96" s="41"/>
    </row>
    <row r="97" spans="5:5" x14ac:dyDescent="0.5">
      <c r="E97" s="41"/>
    </row>
    <row r="98" spans="5:5" x14ac:dyDescent="0.5">
      <c r="E98" s="41"/>
    </row>
    <row r="99" spans="5:5" x14ac:dyDescent="0.5">
      <c r="E99" s="41"/>
    </row>
    <row r="100" spans="5:5" x14ac:dyDescent="0.5">
      <c r="E100" s="41"/>
    </row>
    <row r="101" spans="5:5" x14ac:dyDescent="0.5">
      <c r="E101" s="41"/>
    </row>
    <row r="102" spans="5:5" x14ac:dyDescent="0.5">
      <c r="E102" s="41"/>
    </row>
    <row r="103" spans="5:5" x14ac:dyDescent="0.5">
      <c r="E103" s="41"/>
    </row>
    <row r="104" spans="5:5" x14ac:dyDescent="0.5">
      <c r="E104" s="41"/>
    </row>
    <row r="105" spans="5:5" x14ac:dyDescent="0.5">
      <c r="E105" s="41"/>
    </row>
    <row r="106" spans="5:5" x14ac:dyDescent="0.5">
      <c r="E106" s="41"/>
    </row>
    <row r="107" spans="5:5" x14ac:dyDescent="0.5">
      <c r="E107" s="41"/>
    </row>
    <row r="108" spans="5:5" x14ac:dyDescent="0.5">
      <c r="E108" s="41"/>
    </row>
    <row r="109" spans="5:5" x14ac:dyDescent="0.5">
      <c r="E109" s="41"/>
    </row>
    <row r="110" spans="5:5" x14ac:dyDescent="0.5">
      <c r="E110" s="41"/>
    </row>
    <row r="111" spans="5:5" x14ac:dyDescent="0.5">
      <c r="E111" s="41"/>
    </row>
    <row r="112" spans="5:5" x14ac:dyDescent="0.5">
      <c r="E112" s="41"/>
    </row>
    <row r="113" spans="5:5" x14ac:dyDescent="0.5">
      <c r="E113" s="41"/>
    </row>
    <row r="114" spans="5:5" x14ac:dyDescent="0.5">
      <c r="E114" s="41"/>
    </row>
    <row r="115" spans="5:5" x14ac:dyDescent="0.5">
      <c r="E115" s="41"/>
    </row>
    <row r="116" spans="5:5" x14ac:dyDescent="0.5">
      <c r="E116" s="41"/>
    </row>
    <row r="117" spans="5:5" x14ac:dyDescent="0.5">
      <c r="E117" s="41"/>
    </row>
    <row r="118" spans="5:5" x14ac:dyDescent="0.5">
      <c r="E118" s="41"/>
    </row>
    <row r="119" spans="5:5" x14ac:dyDescent="0.5">
      <c r="E119" s="41"/>
    </row>
    <row r="120" spans="5:5" x14ac:dyDescent="0.5">
      <c r="E120" s="41"/>
    </row>
    <row r="121" spans="5:5" x14ac:dyDescent="0.5">
      <c r="E121" s="41"/>
    </row>
    <row r="122" spans="5:5" x14ac:dyDescent="0.5">
      <c r="E122" s="41"/>
    </row>
    <row r="123" spans="5:5" x14ac:dyDescent="0.5">
      <c r="E123" s="41"/>
    </row>
    <row r="124" spans="5:5" x14ac:dyDescent="0.5">
      <c r="E124" s="41"/>
    </row>
    <row r="125" spans="5:5" x14ac:dyDescent="0.5">
      <c r="E125" s="41"/>
    </row>
    <row r="126" spans="5:5" x14ac:dyDescent="0.5">
      <c r="E126" s="41"/>
    </row>
    <row r="127" spans="5:5" x14ac:dyDescent="0.5">
      <c r="E127" s="41"/>
    </row>
    <row r="128" spans="5:5" x14ac:dyDescent="0.5">
      <c r="E128" s="41"/>
    </row>
    <row r="129" spans="5:5" x14ac:dyDescent="0.5">
      <c r="E129" s="41"/>
    </row>
    <row r="130" spans="5:5" x14ac:dyDescent="0.5">
      <c r="E130" s="41"/>
    </row>
    <row r="131" spans="5:5" x14ac:dyDescent="0.5">
      <c r="E131" s="41"/>
    </row>
    <row r="132" spans="5:5" x14ac:dyDescent="0.5">
      <c r="E132" s="41"/>
    </row>
    <row r="133" spans="5:5" x14ac:dyDescent="0.5">
      <c r="E133" s="41"/>
    </row>
    <row r="134" spans="5:5" x14ac:dyDescent="0.5">
      <c r="E134" s="41"/>
    </row>
    <row r="135" spans="5:5" x14ac:dyDescent="0.5">
      <c r="E135" s="41"/>
    </row>
    <row r="136" spans="5:5" x14ac:dyDescent="0.5">
      <c r="E136" s="41"/>
    </row>
    <row r="137" spans="5:5" x14ac:dyDescent="0.5">
      <c r="E137" s="41"/>
    </row>
    <row r="138" spans="5:5" x14ac:dyDescent="0.5">
      <c r="E138" s="41"/>
    </row>
    <row r="139" spans="5:5" x14ac:dyDescent="0.5">
      <c r="E139" s="41"/>
    </row>
    <row r="140" spans="5:5" x14ac:dyDescent="0.5">
      <c r="E140" s="41"/>
    </row>
    <row r="141" spans="5:5" x14ac:dyDescent="0.5">
      <c r="E141" s="41"/>
    </row>
    <row r="142" spans="5:5" x14ac:dyDescent="0.5">
      <c r="E142" s="41"/>
    </row>
    <row r="143" spans="5:5" x14ac:dyDescent="0.5">
      <c r="E143" s="41"/>
    </row>
    <row r="144" spans="5:5" x14ac:dyDescent="0.5">
      <c r="E144" s="41"/>
    </row>
    <row r="145" spans="5:5" x14ac:dyDescent="0.5">
      <c r="E145" s="41"/>
    </row>
    <row r="146" spans="5:5" x14ac:dyDescent="0.5">
      <c r="E146" s="41"/>
    </row>
    <row r="147" spans="5:5" x14ac:dyDescent="0.5">
      <c r="E147" s="41"/>
    </row>
    <row r="148" spans="5:5" x14ac:dyDescent="0.5">
      <c r="E148" s="41"/>
    </row>
    <row r="149" spans="5:5" x14ac:dyDescent="0.5">
      <c r="E149" s="41"/>
    </row>
    <row r="150" spans="5:5" x14ac:dyDescent="0.5">
      <c r="E150" s="41"/>
    </row>
    <row r="151" spans="5:5" x14ac:dyDescent="0.5">
      <c r="E151" s="41"/>
    </row>
    <row r="152" spans="5:5" x14ac:dyDescent="0.5">
      <c r="E152" s="41"/>
    </row>
    <row r="153" spans="5:5" x14ac:dyDescent="0.5">
      <c r="E153" s="41"/>
    </row>
    <row r="154" spans="5:5" x14ac:dyDescent="0.5">
      <c r="E154" s="41"/>
    </row>
    <row r="155" spans="5:5" x14ac:dyDescent="0.5">
      <c r="E155" s="41"/>
    </row>
    <row r="156" spans="5:5" x14ac:dyDescent="0.5">
      <c r="E156" s="41"/>
    </row>
    <row r="157" spans="5:5" x14ac:dyDescent="0.5">
      <c r="E157" s="41"/>
    </row>
  </sheetData>
  <mergeCells count="3">
    <mergeCell ref="A1:I1"/>
    <mergeCell ref="A2:A1048576"/>
    <mergeCell ref="B2:C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7"/>
  <dimension ref="A1:Q313"/>
  <sheetViews>
    <sheetView topLeftCell="C16" zoomScale="40" zoomScaleNormal="40" workbookViewId="0">
      <selection activeCell="K12" sqref="K12"/>
    </sheetView>
  </sheetViews>
  <sheetFormatPr defaultColWidth="9.140625" defaultRowHeight="31.5" x14ac:dyDescent="0.5"/>
  <cols>
    <col min="1" max="1" width="103.85546875" style="212" customWidth="1"/>
    <col min="2" max="2" width="67.7109375" style="41" bestFit="1" customWidth="1"/>
    <col min="3" max="3" width="30.42578125" style="41" bestFit="1" customWidth="1"/>
    <col min="4" max="4" width="77.85546875" style="42" bestFit="1" customWidth="1"/>
    <col min="5" max="5" width="26.85546875" style="42" customWidth="1"/>
    <col min="6" max="6" width="36" style="42" customWidth="1"/>
    <col min="7" max="7" width="60.5703125" style="43" bestFit="1" customWidth="1"/>
    <col min="8" max="8" width="53.7109375" style="44" customWidth="1"/>
    <col min="9" max="9" width="54.7109375" style="43" customWidth="1"/>
    <col min="10" max="10" width="98.28515625" style="4" bestFit="1" customWidth="1"/>
    <col min="11" max="11" width="49.28515625" style="4" customWidth="1"/>
    <col min="12" max="12" width="31.28515625" style="4" bestFit="1" customWidth="1"/>
    <col min="13" max="16384" width="9.140625" style="4"/>
  </cols>
  <sheetData>
    <row r="1" spans="1:17" ht="397.5" customHeight="1" thickBot="1" x14ac:dyDescent="0.55000000000000004">
      <c r="A1" s="298"/>
      <c r="B1" s="299"/>
      <c r="C1" s="299"/>
      <c r="D1" s="299"/>
      <c r="E1" s="299"/>
      <c r="F1" s="299"/>
      <c r="G1" s="299"/>
      <c r="H1" s="299"/>
      <c r="I1" s="300"/>
    </row>
    <row r="2" spans="1:17" customFormat="1" ht="145.5" customHeight="1" thickBot="1" x14ac:dyDescent="0.55000000000000004">
      <c r="A2" s="18"/>
      <c r="B2" s="313" t="s">
        <v>40</v>
      </c>
      <c r="C2" s="314"/>
      <c r="D2" s="25" t="s">
        <v>44</v>
      </c>
      <c r="E2" s="315">
        <f>SUM(E5:F312)</f>
        <v>0</v>
      </c>
      <c r="F2" s="316"/>
      <c r="G2" s="310" t="s">
        <v>41</v>
      </c>
      <c r="H2" s="310"/>
      <c r="I2" s="311">
        <f>SUM(G5:G269)</f>
        <v>0</v>
      </c>
      <c r="J2" s="312"/>
      <c r="K2" s="81">
        <f>SUM(K5:K1000)</f>
        <v>0</v>
      </c>
      <c r="L2" s="4"/>
      <c r="M2" s="4"/>
      <c r="N2" s="4"/>
      <c r="O2" s="4"/>
      <c r="P2" s="4"/>
      <c r="Q2" s="4"/>
    </row>
    <row r="3" spans="1:17" customFormat="1" ht="117.75" customHeight="1" thickBot="1" x14ac:dyDescent="1.4">
      <c r="A3" s="212"/>
      <c r="B3" s="309" t="s">
        <v>121</v>
      </c>
      <c r="C3" s="309"/>
      <c r="D3" s="28"/>
      <c r="E3" s="309" t="s">
        <v>43</v>
      </c>
      <c r="F3" s="309"/>
      <c r="G3" s="29" t="e">
        <f>SUM(G5:G28)/COUNTIF(G6:G159,"&lt;&gt;"&amp;A1)</f>
        <v>#DIV/0!</v>
      </c>
      <c r="H3" s="27" t="s">
        <v>45</v>
      </c>
      <c r="I3" s="121">
        <f>E2-I2</f>
        <v>0</v>
      </c>
      <c r="J3" s="122">
        <f>SUM(I5:I1000)</f>
        <v>0</v>
      </c>
      <c r="K3" s="129" t="e">
        <f>I2/J3</f>
        <v>#DIV/0!</v>
      </c>
      <c r="L3" s="4"/>
      <c r="M3" s="4"/>
      <c r="N3" s="4"/>
      <c r="O3" s="4"/>
      <c r="P3" s="4"/>
      <c r="Q3" s="4"/>
    </row>
    <row r="4" spans="1:17" x14ac:dyDescent="0.5">
      <c r="A4" s="18"/>
      <c r="B4" s="30" t="s">
        <v>38</v>
      </c>
      <c r="C4" s="30" t="s">
        <v>94</v>
      </c>
      <c r="D4" s="30" t="s">
        <v>36</v>
      </c>
      <c r="E4" s="301" t="s">
        <v>37</v>
      </c>
      <c r="F4" s="301"/>
      <c r="G4" s="31" t="s">
        <v>35</v>
      </c>
      <c r="H4" s="32" t="s">
        <v>39</v>
      </c>
      <c r="I4" s="33" t="s">
        <v>83</v>
      </c>
      <c r="J4" s="77" t="s">
        <v>122</v>
      </c>
      <c r="K4" s="80" t="s">
        <v>84</v>
      </c>
    </row>
    <row r="5" spans="1:17" x14ac:dyDescent="0.5">
      <c r="B5" s="99">
        <v>174</v>
      </c>
      <c r="C5" s="99"/>
      <c r="D5" s="96"/>
      <c r="E5" s="303"/>
      <c r="F5" s="303"/>
      <c r="G5" s="97"/>
      <c r="H5" s="98" t="e">
        <f t="shared" ref="H5:H16" si="0">((E5/G5)-1)</f>
        <v>#DIV/0!</v>
      </c>
      <c r="I5" s="97">
        <f>FLUXO!E3+FLUXO!H3+FLUXO!J3</f>
        <v>0</v>
      </c>
      <c r="J5" s="104" t="e">
        <f t="shared" ref="J5:J33" si="1">G5/I5-1</f>
        <v>#DIV/0!</v>
      </c>
      <c r="K5" s="126">
        <f>G5-I5</f>
        <v>0</v>
      </c>
    </row>
    <row r="6" spans="1:17" x14ac:dyDescent="0.5">
      <c r="B6" s="99">
        <v>175</v>
      </c>
      <c r="C6" s="99"/>
      <c r="D6" s="96"/>
      <c r="E6" s="303"/>
      <c r="F6" s="303"/>
      <c r="G6" s="97"/>
      <c r="H6" s="98" t="e">
        <f t="shared" si="0"/>
        <v>#DIV/0!</v>
      </c>
      <c r="I6" s="97">
        <f>FLUXO!E4+FLUXO!H4+FLUXO!J4</f>
        <v>0</v>
      </c>
      <c r="J6" s="104" t="e">
        <f t="shared" si="1"/>
        <v>#DIV/0!</v>
      </c>
      <c r="K6" s="126">
        <f t="shared" ref="K6:K63" si="2">G6-I6</f>
        <v>0</v>
      </c>
    </row>
    <row r="7" spans="1:17" x14ac:dyDescent="0.5">
      <c r="B7" s="99">
        <v>176</v>
      </c>
      <c r="C7" s="99"/>
      <c r="D7" s="96"/>
      <c r="E7" s="303"/>
      <c r="F7" s="303"/>
      <c r="G7" s="97"/>
      <c r="H7" s="98" t="e">
        <f t="shared" si="0"/>
        <v>#DIV/0!</v>
      </c>
      <c r="I7" s="97">
        <f>FLUXO!E5+FLUXO!H5+FLUXO!J5</f>
        <v>0</v>
      </c>
      <c r="J7" s="104" t="e">
        <f t="shared" si="1"/>
        <v>#DIV/0!</v>
      </c>
      <c r="K7" s="126">
        <f t="shared" si="2"/>
        <v>0</v>
      </c>
    </row>
    <row r="8" spans="1:17" x14ac:dyDescent="0.5">
      <c r="B8" s="99">
        <v>177</v>
      </c>
      <c r="C8" s="99"/>
      <c r="D8" s="96"/>
      <c r="E8" s="303"/>
      <c r="F8" s="303"/>
      <c r="G8" s="97"/>
      <c r="H8" s="98" t="e">
        <f t="shared" si="0"/>
        <v>#DIV/0!</v>
      </c>
      <c r="I8" s="97">
        <v>0</v>
      </c>
      <c r="J8" s="104" t="e">
        <f t="shared" si="1"/>
        <v>#DIV/0!</v>
      </c>
      <c r="K8" s="35">
        <v>0</v>
      </c>
    </row>
    <row r="9" spans="1:17" x14ac:dyDescent="0.5">
      <c r="B9" s="99">
        <v>178</v>
      </c>
      <c r="C9" s="99"/>
      <c r="D9" s="96"/>
      <c r="E9" s="303"/>
      <c r="F9" s="303"/>
      <c r="G9" s="97"/>
      <c r="H9" s="98" t="e">
        <f t="shared" si="0"/>
        <v>#DIV/0!</v>
      </c>
      <c r="I9" s="97">
        <f>FLUXO!E7+FLUXO!H7+FLUXO!J7</f>
        <v>0</v>
      </c>
      <c r="J9" s="104" t="e">
        <f t="shared" si="1"/>
        <v>#DIV/0!</v>
      </c>
      <c r="K9" s="97">
        <f t="shared" si="2"/>
        <v>0</v>
      </c>
    </row>
    <row r="10" spans="1:17" x14ac:dyDescent="0.5">
      <c r="B10" s="99">
        <v>180</v>
      </c>
      <c r="C10" s="99"/>
      <c r="D10" s="96"/>
      <c r="E10" s="303"/>
      <c r="F10" s="303"/>
      <c r="G10" s="97"/>
      <c r="H10" s="98" t="e">
        <f t="shared" si="0"/>
        <v>#DIV/0!</v>
      </c>
      <c r="I10" s="97">
        <f>FLUXO!E8+FLUXO!H8+FLUXO!J8</f>
        <v>0</v>
      </c>
      <c r="J10" s="104" t="e">
        <f t="shared" si="1"/>
        <v>#DIV/0!</v>
      </c>
      <c r="K10" s="35">
        <f t="shared" si="2"/>
        <v>0</v>
      </c>
    </row>
    <row r="11" spans="1:17" x14ac:dyDescent="0.5">
      <c r="B11" s="99">
        <v>181</v>
      </c>
      <c r="C11" s="99"/>
      <c r="D11" s="96"/>
      <c r="E11" s="303"/>
      <c r="F11" s="303"/>
      <c r="G11" s="97"/>
      <c r="H11" s="98" t="e">
        <f t="shared" si="0"/>
        <v>#DIV/0!</v>
      </c>
      <c r="I11" s="97">
        <f>FLUXO!E9+FLUXO!H9+FLUXO!J9</f>
        <v>0</v>
      </c>
      <c r="J11" s="104" t="e">
        <f t="shared" si="1"/>
        <v>#DIV/0!</v>
      </c>
      <c r="K11" s="35">
        <f t="shared" si="2"/>
        <v>0</v>
      </c>
    </row>
    <row r="12" spans="1:17" x14ac:dyDescent="0.5">
      <c r="B12" s="99">
        <v>182</v>
      </c>
      <c r="C12" s="99"/>
      <c r="D12" s="96"/>
      <c r="E12" s="303"/>
      <c r="F12" s="303"/>
      <c r="G12" s="97"/>
      <c r="H12" s="98" t="e">
        <f t="shared" si="0"/>
        <v>#DIV/0!</v>
      </c>
      <c r="I12" s="97">
        <f>FLUXO!E10+FLUXO!H10+FLUXO!J10</f>
        <v>0</v>
      </c>
      <c r="J12" s="104" t="e">
        <f t="shared" si="1"/>
        <v>#DIV/0!</v>
      </c>
      <c r="K12" s="35">
        <f t="shared" si="2"/>
        <v>0</v>
      </c>
    </row>
    <row r="13" spans="1:17" x14ac:dyDescent="0.5">
      <c r="B13" s="99">
        <v>183</v>
      </c>
      <c r="C13" s="99"/>
      <c r="D13" s="96"/>
      <c r="E13" s="303"/>
      <c r="F13" s="303"/>
      <c r="G13" s="97"/>
      <c r="H13" s="98" t="e">
        <f t="shared" si="0"/>
        <v>#DIV/0!</v>
      </c>
      <c r="I13" s="97">
        <f>FLUXO!E11+FLUXO!H11+FLUXO!J11</f>
        <v>0</v>
      </c>
      <c r="J13" s="104" t="e">
        <f t="shared" si="1"/>
        <v>#DIV/0!</v>
      </c>
      <c r="K13" s="126">
        <f t="shared" si="2"/>
        <v>0</v>
      </c>
    </row>
    <row r="14" spans="1:17" x14ac:dyDescent="0.5">
      <c r="B14" s="99">
        <v>184</v>
      </c>
      <c r="C14" s="99"/>
      <c r="D14" s="96"/>
      <c r="E14" s="303"/>
      <c r="F14" s="303"/>
      <c r="G14" s="97"/>
      <c r="H14" s="98" t="e">
        <f t="shared" si="0"/>
        <v>#DIV/0!</v>
      </c>
      <c r="I14" s="97">
        <f>FLUXO!E12+FLUXO!H12+FLUXO!J12</f>
        <v>0</v>
      </c>
      <c r="J14" s="104" t="e">
        <f t="shared" si="1"/>
        <v>#DIV/0!</v>
      </c>
      <c r="K14" s="126">
        <f t="shared" si="2"/>
        <v>0</v>
      </c>
    </row>
    <row r="15" spans="1:17" x14ac:dyDescent="0.5">
      <c r="B15" s="99">
        <v>185</v>
      </c>
      <c r="C15" s="99"/>
      <c r="D15" s="96"/>
      <c r="E15" s="303"/>
      <c r="F15" s="303"/>
      <c r="G15" s="97"/>
      <c r="H15" s="98" t="e">
        <f t="shared" si="0"/>
        <v>#DIV/0!</v>
      </c>
      <c r="I15" s="97">
        <f>FLUXO!E13+FLUXO!H13+FLUXO!J13</f>
        <v>0</v>
      </c>
      <c r="J15" s="104" t="e">
        <f t="shared" si="1"/>
        <v>#DIV/0!</v>
      </c>
      <c r="K15" s="126">
        <f t="shared" si="2"/>
        <v>0</v>
      </c>
    </row>
    <row r="16" spans="1:17" x14ac:dyDescent="0.5">
      <c r="B16" s="99">
        <v>186</v>
      </c>
      <c r="C16" s="99"/>
      <c r="D16" s="96"/>
      <c r="E16" s="303"/>
      <c r="F16" s="303"/>
      <c r="G16" s="97"/>
      <c r="H16" s="98" t="e">
        <f t="shared" si="0"/>
        <v>#DIV/0!</v>
      </c>
      <c r="I16" s="97">
        <f>FLUXO!E14+FLUXO!H14+FLUXO!J14</f>
        <v>0</v>
      </c>
      <c r="J16" s="104" t="e">
        <f t="shared" si="1"/>
        <v>#DIV/0!</v>
      </c>
      <c r="K16" s="126">
        <f t="shared" si="2"/>
        <v>0</v>
      </c>
    </row>
    <row r="17" spans="1:12" x14ac:dyDescent="0.5">
      <c r="B17" s="99">
        <v>187</v>
      </c>
      <c r="C17" s="99"/>
      <c r="D17" s="96"/>
      <c r="E17" s="303"/>
      <c r="F17" s="303"/>
      <c r="G17" s="97"/>
      <c r="H17" s="98" t="e">
        <f t="shared" ref="H17:H23" si="3">((E17/G17)-1)</f>
        <v>#DIV/0!</v>
      </c>
      <c r="I17" s="97">
        <f>FLUXO!E15+FLUXO!H15+FLUXO!J15</f>
        <v>0</v>
      </c>
      <c r="J17" s="104" t="e">
        <f t="shared" si="1"/>
        <v>#DIV/0!</v>
      </c>
      <c r="K17" s="126">
        <f t="shared" si="2"/>
        <v>0</v>
      </c>
    </row>
    <row r="18" spans="1:12" s="115" customFormat="1" x14ac:dyDescent="0.5">
      <c r="A18" s="212"/>
      <c r="B18" s="99">
        <v>188</v>
      </c>
      <c r="C18" s="113"/>
      <c r="D18" s="114"/>
      <c r="E18" s="303"/>
      <c r="F18" s="303"/>
      <c r="G18" s="97"/>
      <c r="H18" s="98" t="e">
        <f t="shared" si="3"/>
        <v>#DIV/0!</v>
      </c>
      <c r="I18" s="97">
        <f>FLUXO!E16+FLUXO!H16+FLUXO!J16</f>
        <v>0</v>
      </c>
      <c r="J18" s="104" t="e">
        <f t="shared" si="1"/>
        <v>#DIV/0!</v>
      </c>
      <c r="K18" s="126">
        <f t="shared" si="2"/>
        <v>0</v>
      </c>
    </row>
    <row r="19" spans="1:12" x14ac:dyDescent="0.5">
      <c r="B19" s="99">
        <v>189</v>
      </c>
      <c r="C19" s="99"/>
      <c r="D19" s="96"/>
      <c r="E19" s="303"/>
      <c r="F19" s="303"/>
      <c r="G19" s="97"/>
      <c r="H19" s="98" t="e">
        <f t="shared" si="3"/>
        <v>#DIV/0!</v>
      </c>
      <c r="I19" s="97">
        <f>FLUXO!E17+FLUXO!H17+FLUXO!J17</f>
        <v>0</v>
      </c>
      <c r="J19" s="104" t="e">
        <f t="shared" si="1"/>
        <v>#DIV/0!</v>
      </c>
      <c r="K19" s="35">
        <f t="shared" si="2"/>
        <v>0</v>
      </c>
    </row>
    <row r="20" spans="1:12" x14ac:dyDescent="0.5">
      <c r="B20" s="99">
        <v>190</v>
      </c>
      <c r="C20" s="99"/>
      <c r="D20" s="96"/>
      <c r="E20" s="303"/>
      <c r="F20" s="303"/>
      <c r="G20" s="97"/>
      <c r="H20" s="98" t="e">
        <f t="shared" si="3"/>
        <v>#DIV/0!</v>
      </c>
      <c r="I20" s="97">
        <f>FLUXO!E18+FLUXO!H18+FLUXO!J18</f>
        <v>0</v>
      </c>
      <c r="J20" s="104" t="e">
        <f t="shared" si="1"/>
        <v>#DIV/0!</v>
      </c>
      <c r="K20" s="35">
        <f t="shared" si="2"/>
        <v>0</v>
      </c>
    </row>
    <row r="21" spans="1:12" x14ac:dyDescent="0.5">
      <c r="B21" s="99">
        <v>191</v>
      </c>
      <c r="C21" s="99"/>
      <c r="D21" s="96"/>
      <c r="E21" s="303"/>
      <c r="F21" s="303"/>
      <c r="G21" s="97"/>
      <c r="H21" s="98" t="e">
        <f t="shared" si="3"/>
        <v>#DIV/0!</v>
      </c>
      <c r="I21" s="97">
        <f>FLUXO!E19+FLUXO!H19+FLUXO!J19</f>
        <v>0</v>
      </c>
      <c r="J21" s="104" t="e">
        <f t="shared" si="1"/>
        <v>#DIV/0!</v>
      </c>
      <c r="K21" s="35">
        <f t="shared" si="2"/>
        <v>0</v>
      </c>
    </row>
    <row r="22" spans="1:12" x14ac:dyDescent="0.5">
      <c r="B22" s="99">
        <v>192</v>
      </c>
      <c r="C22" s="99"/>
      <c r="D22" s="96"/>
      <c r="E22" s="303"/>
      <c r="F22" s="303"/>
      <c r="G22" s="97"/>
      <c r="H22" s="98" t="e">
        <f t="shared" si="3"/>
        <v>#DIV/0!</v>
      </c>
      <c r="I22" s="97">
        <f>FLUXO!E20+FLUXO!H20+FLUXO!J20</f>
        <v>0</v>
      </c>
      <c r="J22" s="104" t="e">
        <f t="shared" si="1"/>
        <v>#DIV/0!</v>
      </c>
      <c r="K22" s="35">
        <f t="shared" si="2"/>
        <v>0</v>
      </c>
    </row>
    <row r="23" spans="1:12" x14ac:dyDescent="0.5">
      <c r="B23" s="99">
        <v>193</v>
      </c>
      <c r="C23" s="99"/>
      <c r="D23" s="96"/>
      <c r="E23" s="304"/>
      <c r="F23" s="305"/>
      <c r="G23" s="97"/>
      <c r="H23" s="98" t="e">
        <f t="shared" si="3"/>
        <v>#DIV/0!</v>
      </c>
      <c r="I23" s="97">
        <f>FLUXO!E21+FLUXO!H21+FLUXO!J21</f>
        <v>0</v>
      </c>
      <c r="J23" s="104" t="e">
        <f t="shared" si="1"/>
        <v>#DIV/0!</v>
      </c>
      <c r="K23" s="35">
        <f t="shared" si="2"/>
        <v>0</v>
      </c>
      <c r="L23" s="100">
        <f>SUM(K24:K32)</f>
        <v>0</v>
      </c>
    </row>
    <row r="24" spans="1:12" x14ac:dyDescent="0.5">
      <c r="B24" s="99">
        <v>194</v>
      </c>
      <c r="C24" s="99"/>
      <c r="D24" s="96"/>
      <c r="E24" s="304"/>
      <c r="F24" s="305"/>
      <c r="G24" s="97"/>
      <c r="H24" s="98" t="e">
        <f t="shared" ref="H24:H77" si="4">((E24/G24)-1)</f>
        <v>#DIV/0!</v>
      </c>
      <c r="I24" s="97">
        <f>FLUXO!E22+FLUXO!H22+FLUXO!J22</f>
        <v>0</v>
      </c>
      <c r="J24" s="104" t="e">
        <f t="shared" si="1"/>
        <v>#DIV/0!</v>
      </c>
      <c r="K24" s="126">
        <f t="shared" si="2"/>
        <v>0</v>
      </c>
    </row>
    <row r="25" spans="1:12" x14ac:dyDescent="0.5">
      <c r="B25" s="99">
        <v>195</v>
      </c>
      <c r="C25" s="99"/>
      <c r="D25" s="96"/>
      <c r="E25" s="304"/>
      <c r="F25" s="305"/>
      <c r="G25" s="97"/>
      <c r="H25" s="98" t="e">
        <f t="shared" si="4"/>
        <v>#DIV/0!</v>
      </c>
      <c r="I25" s="97">
        <f>FLUXO!E23+FLUXO!H23+FLUXO!J23</f>
        <v>0</v>
      </c>
      <c r="J25" s="104" t="e">
        <f t="shared" si="1"/>
        <v>#DIV/0!</v>
      </c>
      <c r="K25" s="126">
        <f t="shared" si="2"/>
        <v>0</v>
      </c>
    </row>
    <row r="26" spans="1:12" x14ac:dyDescent="0.5">
      <c r="B26" s="99">
        <v>197</v>
      </c>
      <c r="C26" s="99"/>
      <c r="D26" s="96"/>
      <c r="E26" s="304"/>
      <c r="F26" s="305"/>
      <c r="G26" s="97"/>
      <c r="H26" s="98" t="e">
        <f t="shared" si="4"/>
        <v>#DIV/0!</v>
      </c>
      <c r="I26" s="97">
        <f>FLUXO!E24+FLUXO!H24+FLUXO!J24</f>
        <v>0</v>
      </c>
      <c r="J26" s="104" t="e">
        <f t="shared" si="1"/>
        <v>#DIV/0!</v>
      </c>
      <c r="K26" s="126">
        <f t="shared" si="2"/>
        <v>0</v>
      </c>
    </row>
    <row r="27" spans="1:12" x14ac:dyDescent="0.5">
      <c r="B27" s="99">
        <v>198</v>
      </c>
      <c r="C27" s="99"/>
      <c r="D27" s="96"/>
      <c r="E27" s="304"/>
      <c r="F27" s="305"/>
      <c r="G27" s="97"/>
      <c r="H27" s="98" t="e">
        <f t="shared" si="4"/>
        <v>#DIV/0!</v>
      </c>
      <c r="I27" s="97">
        <f>FLUXO!E25+FLUXO!H25+FLUXO!J25</f>
        <v>0</v>
      </c>
      <c r="J27" s="104" t="e">
        <f t="shared" si="1"/>
        <v>#DIV/0!</v>
      </c>
      <c r="K27" s="126">
        <f t="shared" si="2"/>
        <v>0</v>
      </c>
    </row>
    <row r="28" spans="1:12" x14ac:dyDescent="0.5">
      <c r="B28" s="99">
        <v>199</v>
      </c>
      <c r="C28" s="99"/>
      <c r="D28" s="96"/>
      <c r="E28" s="304"/>
      <c r="F28" s="305"/>
      <c r="G28" s="97"/>
      <c r="H28" s="98" t="e">
        <f t="shared" si="4"/>
        <v>#DIV/0!</v>
      </c>
      <c r="I28" s="97">
        <f>FLUXO!E26+FLUXO!H26+FLUXO!J26</f>
        <v>0</v>
      </c>
      <c r="J28" s="104" t="e">
        <f t="shared" si="1"/>
        <v>#DIV/0!</v>
      </c>
      <c r="K28" s="126">
        <f t="shared" si="2"/>
        <v>0</v>
      </c>
    </row>
    <row r="29" spans="1:12" x14ac:dyDescent="0.5">
      <c r="B29" s="99">
        <v>200</v>
      </c>
      <c r="C29" s="99"/>
      <c r="D29" s="96"/>
      <c r="E29" s="304"/>
      <c r="F29" s="305"/>
      <c r="G29" s="97"/>
      <c r="H29" s="98" t="e">
        <f t="shared" si="4"/>
        <v>#DIV/0!</v>
      </c>
      <c r="I29" s="97">
        <f>FLUXO!E27+FLUXO!H27+FLUXO!J27</f>
        <v>0</v>
      </c>
      <c r="J29" s="104" t="e">
        <f t="shared" si="1"/>
        <v>#DIV/0!</v>
      </c>
      <c r="K29" s="126">
        <f t="shared" si="2"/>
        <v>0</v>
      </c>
    </row>
    <row r="30" spans="1:12" x14ac:dyDescent="0.5">
      <c r="B30" s="99">
        <v>201</v>
      </c>
      <c r="C30" s="99"/>
      <c r="D30" s="96"/>
      <c r="E30" s="303"/>
      <c r="F30" s="303"/>
      <c r="G30" s="97"/>
      <c r="H30" s="114" t="e">
        <f t="shared" si="4"/>
        <v>#DIV/0!</v>
      </c>
      <c r="I30" s="97">
        <f>FLUXO!E28+FLUXO!H28+FLUXO!J28</f>
        <v>0</v>
      </c>
      <c r="J30" s="104" t="e">
        <f t="shared" si="1"/>
        <v>#DIV/0!</v>
      </c>
      <c r="K30" s="126">
        <f t="shared" si="2"/>
        <v>0</v>
      </c>
    </row>
    <row r="31" spans="1:12" x14ac:dyDescent="0.5">
      <c r="B31" s="99">
        <v>202</v>
      </c>
      <c r="C31" s="99"/>
      <c r="D31" s="96"/>
      <c r="E31" s="303"/>
      <c r="F31" s="303"/>
      <c r="G31" s="97"/>
      <c r="H31" s="114" t="e">
        <f t="shared" si="4"/>
        <v>#DIV/0!</v>
      </c>
      <c r="I31" s="97">
        <f>FLUXO!E29+FLUXO!H29+FLUXO!J29</f>
        <v>0</v>
      </c>
      <c r="J31" s="104" t="e">
        <f t="shared" si="1"/>
        <v>#DIV/0!</v>
      </c>
      <c r="K31" s="126">
        <f t="shared" si="2"/>
        <v>0</v>
      </c>
    </row>
    <row r="32" spans="1:12" x14ac:dyDescent="0.5">
      <c r="B32" s="99">
        <v>203</v>
      </c>
      <c r="C32" s="99"/>
      <c r="D32" s="96"/>
      <c r="E32" s="303"/>
      <c r="F32" s="303"/>
      <c r="G32" s="97"/>
      <c r="H32" s="114" t="e">
        <f t="shared" si="4"/>
        <v>#DIV/0!</v>
      </c>
      <c r="I32" s="97">
        <f>FLUXO!E30+FLUXO!H30+FLUXO!J30</f>
        <v>0</v>
      </c>
      <c r="J32" s="104" t="e">
        <f t="shared" si="1"/>
        <v>#DIV/0!</v>
      </c>
      <c r="K32" s="126">
        <f t="shared" si="2"/>
        <v>0</v>
      </c>
    </row>
    <row r="33" spans="2:11" x14ac:dyDescent="0.5">
      <c r="B33" s="99">
        <v>204</v>
      </c>
      <c r="C33" s="99"/>
      <c r="D33" s="96"/>
      <c r="E33" s="303"/>
      <c r="F33" s="303"/>
      <c r="G33" s="97"/>
      <c r="H33" s="114" t="e">
        <f t="shared" si="4"/>
        <v>#DIV/0!</v>
      </c>
      <c r="I33" s="97">
        <f>FLUXO!E31+FLUXO!H31+FLUXO!J31</f>
        <v>0</v>
      </c>
      <c r="J33" s="104" t="e">
        <f t="shared" si="1"/>
        <v>#DIV/0!</v>
      </c>
      <c r="K33" s="126">
        <f t="shared" si="2"/>
        <v>0</v>
      </c>
    </row>
    <row r="34" spans="2:11" x14ac:dyDescent="0.5">
      <c r="B34" s="99">
        <v>205</v>
      </c>
      <c r="C34" s="99"/>
      <c r="D34" s="96"/>
      <c r="E34" s="303"/>
      <c r="F34" s="303"/>
      <c r="G34" s="97"/>
      <c r="H34" s="114" t="e">
        <f t="shared" si="4"/>
        <v>#DIV/0!</v>
      </c>
      <c r="I34" s="97">
        <f>FLUXO!E32+FLUXO!H32+FLUXO!J32</f>
        <v>0</v>
      </c>
      <c r="J34" s="104" t="e">
        <f t="shared" ref="J34:J63" si="5">G34/I34</f>
        <v>#DIV/0!</v>
      </c>
      <c r="K34" s="97">
        <f t="shared" si="2"/>
        <v>0</v>
      </c>
    </row>
    <row r="35" spans="2:11" x14ac:dyDescent="0.5">
      <c r="B35" s="99">
        <v>206</v>
      </c>
      <c r="C35" s="99"/>
      <c r="D35" s="96"/>
      <c r="E35" s="304"/>
      <c r="F35" s="305"/>
      <c r="G35" s="97"/>
      <c r="H35" s="114" t="e">
        <f t="shared" si="4"/>
        <v>#DIV/0!</v>
      </c>
      <c r="I35" s="97">
        <f>FLUXO!E33+FLUXO!H33+FLUXO!J33+FLUXO!L33</f>
        <v>0</v>
      </c>
      <c r="J35" s="104" t="e">
        <f t="shared" si="5"/>
        <v>#DIV/0!</v>
      </c>
      <c r="K35" s="97">
        <f t="shared" si="2"/>
        <v>0</v>
      </c>
    </row>
    <row r="36" spans="2:11" x14ac:dyDescent="0.5">
      <c r="B36" s="99">
        <v>207</v>
      </c>
      <c r="C36" s="99"/>
      <c r="D36" s="96"/>
      <c r="E36" s="303"/>
      <c r="F36" s="303"/>
      <c r="G36" s="97"/>
      <c r="H36" s="114" t="e">
        <f t="shared" si="4"/>
        <v>#DIV/0!</v>
      </c>
      <c r="I36" s="97">
        <f>FLUXO!E34+FLUXO!H34+FLUXO!J34</f>
        <v>0</v>
      </c>
      <c r="J36" s="104" t="e">
        <f t="shared" si="5"/>
        <v>#DIV/0!</v>
      </c>
      <c r="K36" s="97">
        <f t="shared" si="2"/>
        <v>0</v>
      </c>
    </row>
    <row r="37" spans="2:11" x14ac:dyDescent="0.5">
      <c r="B37" s="99">
        <v>208</v>
      </c>
      <c r="C37" s="99"/>
      <c r="D37" s="96"/>
      <c r="E37" s="303"/>
      <c r="F37" s="303"/>
      <c r="G37" s="97"/>
      <c r="H37" s="114" t="e">
        <f t="shared" si="4"/>
        <v>#DIV/0!</v>
      </c>
      <c r="I37" s="97">
        <f>FLUXO!E35+FLUXO!H35+FLUXO!J35</f>
        <v>0</v>
      </c>
      <c r="J37" s="104" t="e">
        <f t="shared" si="5"/>
        <v>#DIV/0!</v>
      </c>
      <c r="K37" s="35">
        <f t="shared" si="2"/>
        <v>0</v>
      </c>
    </row>
    <row r="38" spans="2:11" x14ac:dyDescent="0.5">
      <c r="B38" s="99">
        <v>209</v>
      </c>
      <c r="C38" s="99"/>
      <c r="D38" s="96"/>
      <c r="E38" s="303"/>
      <c r="F38" s="303"/>
      <c r="G38" s="97"/>
      <c r="H38" s="114" t="e">
        <f t="shared" si="4"/>
        <v>#DIV/0!</v>
      </c>
      <c r="I38" s="97">
        <f>FLUXO!E36+FLUXO!H36+FLUXO!J36</f>
        <v>0</v>
      </c>
      <c r="J38" s="104" t="e">
        <f t="shared" si="5"/>
        <v>#DIV/0!</v>
      </c>
      <c r="K38" s="35">
        <f t="shared" si="2"/>
        <v>0</v>
      </c>
    </row>
    <row r="39" spans="2:11" x14ac:dyDescent="0.5">
      <c r="B39" s="99">
        <v>210</v>
      </c>
      <c r="C39" s="99"/>
      <c r="D39" s="96"/>
      <c r="E39" s="303"/>
      <c r="F39" s="303"/>
      <c r="G39" s="97"/>
      <c r="H39" s="114" t="e">
        <f t="shared" si="4"/>
        <v>#DIV/0!</v>
      </c>
      <c r="I39" s="97">
        <f>FLUXO!E37+FLUXO!H37+FLUXO!J37</f>
        <v>0</v>
      </c>
      <c r="J39" s="104" t="e">
        <f t="shared" si="5"/>
        <v>#DIV/0!</v>
      </c>
      <c r="K39" s="35">
        <f t="shared" si="2"/>
        <v>0</v>
      </c>
    </row>
    <row r="40" spans="2:11" x14ac:dyDescent="0.5">
      <c r="B40" s="99">
        <v>211</v>
      </c>
      <c r="C40" s="99"/>
      <c r="D40" s="96"/>
      <c r="E40" s="303"/>
      <c r="F40" s="303"/>
      <c r="G40" s="97"/>
      <c r="H40" s="114" t="e">
        <f t="shared" si="4"/>
        <v>#DIV/0!</v>
      </c>
      <c r="I40" s="97">
        <f>FLUXO!E38+FLUXO!H38+FLUXO!J38</f>
        <v>0</v>
      </c>
      <c r="J40" s="104" t="e">
        <f t="shared" si="5"/>
        <v>#DIV/0!</v>
      </c>
      <c r="K40" s="35">
        <f t="shared" si="2"/>
        <v>0</v>
      </c>
    </row>
    <row r="41" spans="2:11" x14ac:dyDescent="0.5">
      <c r="B41" s="99">
        <v>212</v>
      </c>
      <c r="C41" s="99"/>
      <c r="D41" s="96"/>
      <c r="E41" s="303"/>
      <c r="F41" s="303"/>
      <c r="G41" s="97"/>
      <c r="H41" s="114" t="e">
        <f t="shared" si="4"/>
        <v>#DIV/0!</v>
      </c>
      <c r="I41" s="97">
        <f>FLUXO!E39+FLUXO!H39+FLUXO!J39</f>
        <v>0</v>
      </c>
      <c r="J41" s="104" t="e">
        <f t="shared" si="5"/>
        <v>#DIV/0!</v>
      </c>
      <c r="K41" s="35">
        <f t="shared" si="2"/>
        <v>0</v>
      </c>
    </row>
    <row r="42" spans="2:11" x14ac:dyDescent="0.5">
      <c r="B42" s="99">
        <v>213</v>
      </c>
      <c r="C42" s="99"/>
      <c r="D42" s="96"/>
      <c r="E42" s="303"/>
      <c r="F42" s="303"/>
      <c r="G42" s="97"/>
      <c r="H42" s="114" t="e">
        <f t="shared" si="4"/>
        <v>#DIV/0!</v>
      </c>
      <c r="I42" s="97">
        <f>E42/1.9</f>
        <v>0</v>
      </c>
      <c r="J42" s="104" t="e">
        <f t="shared" si="5"/>
        <v>#DIV/0!</v>
      </c>
      <c r="K42" s="35">
        <f t="shared" si="2"/>
        <v>0</v>
      </c>
    </row>
    <row r="43" spans="2:11" x14ac:dyDescent="0.5">
      <c r="B43" s="99">
        <v>214</v>
      </c>
      <c r="C43" s="99"/>
      <c r="D43" s="96"/>
      <c r="E43" s="303"/>
      <c r="F43" s="303"/>
      <c r="G43" s="97"/>
      <c r="H43" s="114" t="e">
        <f t="shared" si="4"/>
        <v>#DIV/0!</v>
      </c>
      <c r="I43" s="97">
        <f t="shared" ref="I43:I102" si="6">E43/1.9</f>
        <v>0</v>
      </c>
      <c r="J43" s="104" t="e">
        <f t="shared" si="5"/>
        <v>#DIV/0!</v>
      </c>
      <c r="K43" s="182">
        <f t="shared" si="2"/>
        <v>0</v>
      </c>
    </row>
    <row r="44" spans="2:11" x14ac:dyDescent="0.5">
      <c r="B44" s="99">
        <v>215</v>
      </c>
      <c r="C44" s="99"/>
      <c r="D44" s="96"/>
      <c r="E44" s="303"/>
      <c r="F44" s="303"/>
      <c r="G44" s="97"/>
      <c r="H44" s="114" t="e">
        <f t="shared" si="4"/>
        <v>#DIV/0!</v>
      </c>
      <c r="I44" s="97">
        <f t="shared" si="6"/>
        <v>0</v>
      </c>
      <c r="J44" s="104" t="e">
        <f t="shared" si="5"/>
        <v>#DIV/0!</v>
      </c>
      <c r="K44" s="182">
        <f t="shared" si="2"/>
        <v>0</v>
      </c>
    </row>
    <row r="45" spans="2:11" x14ac:dyDescent="0.5">
      <c r="B45" s="99">
        <v>216</v>
      </c>
      <c r="C45" s="99"/>
      <c r="D45" s="96"/>
      <c r="E45" s="303"/>
      <c r="F45" s="303"/>
      <c r="G45" s="97"/>
      <c r="H45" s="114" t="e">
        <f t="shared" si="4"/>
        <v>#DIV/0!</v>
      </c>
      <c r="I45" s="97">
        <f>E45/2</f>
        <v>0</v>
      </c>
      <c r="J45" s="104" t="e">
        <f t="shared" si="5"/>
        <v>#DIV/0!</v>
      </c>
      <c r="K45" s="182">
        <f t="shared" si="2"/>
        <v>0</v>
      </c>
    </row>
    <row r="46" spans="2:11" x14ac:dyDescent="0.5">
      <c r="B46" s="99">
        <v>217</v>
      </c>
      <c r="C46" s="99"/>
      <c r="D46" s="96"/>
      <c r="E46" s="303"/>
      <c r="F46" s="303"/>
      <c r="G46" s="97"/>
      <c r="H46" s="114" t="e">
        <f t="shared" si="4"/>
        <v>#DIV/0!</v>
      </c>
      <c r="I46" s="97">
        <f t="shared" si="6"/>
        <v>0</v>
      </c>
      <c r="J46" s="104" t="e">
        <f t="shared" si="5"/>
        <v>#DIV/0!</v>
      </c>
      <c r="K46" s="182">
        <f t="shared" si="2"/>
        <v>0</v>
      </c>
    </row>
    <row r="47" spans="2:11" x14ac:dyDescent="0.5">
      <c r="B47" s="99">
        <v>218</v>
      </c>
      <c r="C47" s="99"/>
      <c r="D47" s="96"/>
      <c r="E47" s="303"/>
      <c r="F47" s="303"/>
      <c r="G47" s="97"/>
      <c r="H47" s="114" t="e">
        <f t="shared" si="4"/>
        <v>#DIV/0!</v>
      </c>
      <c r="I47" s="97">
        <f t="shared" si="6"/>
        <v>0</v>
      </c>
      <c r="J47" s="104" t="e">
        <f t="shared" si="5"/>
        <v>#DIV/0!</v>
      </c>
      <c r="K47" s="182">
        <f t="shared" si="2"/>
        <v>0</v>
      </c>
    </row>
    <row r="48" spans="2:11" x14ac:dyDescent="0.5">
      <c r="B48" s="99">
        <v>219</v>
      </c>
      <c r="C48" s="99"/>
      <c r="D48" s="96"/>
      <c r="E48" s="303"/>
      <c r="F48" s="303"/>
      <c r="G48" s="97"/>
      <c r="H48" s="114" t="e">
        <f t="shared" si="4"/>
        <v>#DIV/0!</v>
      </c>
      <c r="I48" s="97">
        <f t="shared" si="6"/>
        <v>0</v>
      </c>
      <c r="J48" s="104" t="e">
        <f t="shared" si="5"/>
        <v>#DIV/0!</v>
      </c>
      <c r="K48" s="182">
        <f t="shared" si="2"/>
        <v>0</v>
      </c>
    </row>
    <row r="49" spans="2:11" x14ac:dyDescent="0.5">
      <c r="B49" s="99">
        <v>220</v>
      </c>
      <c r="C49" s="99"/>
      <c r="D49" s="96"/>
      <c r="E49" s="303"/>
      <c r="F49" s="303"/>
      <c r="G49" s="97"/>
      <c r="H49" s="114" t="e">
        <f t="shared" si="4"/>
        <v>#DIV/0!</v>
      </c>
      <c r="I49" s="97">
        <f t="shared" si="6"/>
        <v>0</v>
      </c>
      <c r="J49" s="104" t="e">
        <f t="shared" si="5"/>
        <v>#DIV/0!</v>
      </c>
      <c r="K49" s="182">
        <f t="shared" si="2"/>
        <v>0</v>
      </c>
    </row>
    <row r="50" spans="2:11" x14ac:dyDescent="0.5">
      <c r="B50" s="99">
        <v>221</v>
      </c>
      <c r="C50" s="99"/>
      <c r="D50" s="96"/>
      <c r="E50" s="303"/>
      <c r="F50" s="303"/>
      <c r="G50" s="97"/>
      <c r="H50" s="114" t="e">
        <f t="shared" si="4"/>
        <v>#DIV/0!</v>
      </c>
      <c r="I50" s="97">
        <f t="shared" si="6"/>
        <v>0</v>
      </c>
      <c r="J50" s="104" t="e">
        <f t="shared" si="5"/>
        <v>#DIV/0!</v>
      </c>
      <c r="K50" s="199">
        <f t="shared" si="2"/>
        <v>0</v>
      </c>
    </row>
    <row r="51" spans="2:11" x14ac:dyDescent="0.5">
      <c r="B51" s="99">
        <v>222</v>
      </c>
      <c r="C51" s="99"/>
      <c r="D51" s="96"/>
      <c r="E51" s="303"/>
      <c r="F51" s="303"/>
      <c r="G51" s="97"/>
      <c r="H51" s="114" t="e">
        <f t="shared" si="4"/>
        <v>#DIV/0!</v>
      </c>
      <c r="I51" s="97">
        <f t="shared" si="6"/>
        <v>0</v>
      </c>
      <c r="J51" s="104" t="e">
        <f t="shared" si="5"/>
        <v>#DIV/0!</v>
      </c>
      <c r="K51" s="199">
        <f t="shared" si="2"/>
        <v>0</v>
      </c>
    </row>
    <row r="52" spans="2:11" x14ac:dyDescent="0.5">
      <c r="B52" s="99">
        <v>223</v>
      </c>
      <c r="C52" s="99"/>
      <c r="D52" s="96"/>
      <c r="E52" s="303"/>
      <c r="F52" s="303"/>
      <c r="G52" s="97"/>
      <c r="H52" s="114" t="e">
        <f t="shared" si="4"/>
        <v>#DIV/0!</v>
      </c>
      <c r="I52" s="97">
        <f t="shared" si="6"/>
        <v>0</v>
      </c>
      <c r="J52" s="104" t="e">
        <f t="shared" si="5"/>
        <v>#DIV/0!</v>
      </c>
      <c r="K52" s="35">
        <f t="shared" si="2"/>
        <v>0</v>
      </c>
    </row>
    <row r="53" spans="2:11" x14ac:dyDescent="0.5">
      <c r="B53" s="99">
        <v>224</v>
      </c>
      <c r="C53" s="99"/>
      <c r="D53" s="115"/>
      <c r="E53" s="303"/>
      <c r="F53" s="303"/>
      <c r="G53" s="97"/>
      <c r="H53" s="114" t="e">
        <f t="shared" si="4"/>
        <v>#DIV/0!</v>
      </c>
      <c r="I53" s="97">
        <f t="shared" si="6"/>
        <v>0</v>
      </c>
      <c r="J53" s="104" t="e">
        <f t="shared" si="5"/>
        <v>#DIV/0!</v>
      </c>
      <c r="K53" s="35">
        <f t="shared" si="2"/>
        <v>0</v>
      </c>
    </row>
    <row r="54" spans="2:11" x14ac:dyDescent="0.5">
      <c r="B54" s="99">
        <v>225</v>
      </c>
      <c r="C54" s="99"/>
      <c r="D54" s="96"/>
      <c r="E54" s="303"/>
      <c r="F54" s="303"/>
      <c r="G54" s="97"/>
      <c r="H54" s="114" t="e">
        <f t="shared" si="4"/>
        <v>#DIV/0!</v>
      </c>
      <c r="I54" s="97">
        <f t="shared" si="6"/>
        <v>0</v>
      </c>
      <c r="J54" s="104" t="e">
        <f t="shared" si="5"/>
        <v>#DIV/0!</v>
      </c>
      <c r="K54" s="35">
        <f t="shared" si="2"/>
        <v>0</v>
      </c>
    </row>
    <row r="55" spans="2:11" x14ac:dyDescent="0.5">
      <c r="B55" s="99">
        <v>226</v>
      </c>
      <c r="C55" s="99"/>
      <c r="D55" s="96"/>
      <c r="E55" s="303"/>
      <c r="F55" s="303"/>
      <c r="G55" s="97"/>
      <c r="H55" s="114" t="e">
        <f t="shared" si="4"/>
        <v>#DIV/0!</v>
      </c>
      <c r="I55" s="97">
        <f t="shared" si="6"/>
        <v>0</v>
      </c>
      <c r="J55" s="104" t="e">
        <f t="shared" si="5"/>
        <v>#DIV/0!</v>
      </c>
      <c r="K55" s="35">
        <f t="shared" si="2"/>
        <v>0</v>
      </c>
    </row>
    <row r="56" spans="2:11" x14ac:dyDescent="0.5">
      <c r="B56" s="99">
        <v>227</v>
      </c>
      <c r="C56" s="99"/>
      <c r="D56" s="96"/>
      <c r="E56" s="303"/>
      <c r="F56" s="303"/>
      <c r="G56" s="97"/>
      <c r="H56" s="114" t="e">
        <f t="shared" si="4"/>
        <v>#DIV/0!</v>
      </c>
      <c r="I56" s="97">
        <f t="shared" si="6"/>
        <v>0</v>
      </c>
      <c r="J56" s="104" t="e">
        <f t="shared" si="5"/>
        <v>#DIV/0!</v>
      </c>
      <c r="K56" s="35">
        <f t="shared" si="2"/>
        <v>0</v>
      </c>
    </row>
    <row r="57" spans="2:11" x14ac:dyDescent="0.5">
      <c r="B57" s="99">
        <v>228</v>
      </c>
      <c r="C57" s="99"/>
      <c r="D57" s="96"/>
      <c r="E57" s="303"/>
      <c r="F57" s="303"/>
      <c r="G57" s="97"/>
      <c r="H57" s="114" t="e">
        <f t="shared" si="4"/>
        <v>#DIV/0!</v>
      </c>
      <c r="I57" s="97">
        <f t="shared" si="6"/>
        <v>0</v>
      </c>
      <c r="J57" s="104" t="e">
        <f t="shared" si="5"/>
        <v>#DIV/0!</v>
      </c>
      <c r="K57" s="35">
        <f t="shared" si="2"/>
        <v>0</v>
      </c>
    </row>
    <row r="58" spans="2:11" x14ac:dyDescent="0.5">
      <c r="B58" s="99">
        <v>229</v>
      </c>
      <c r="C58" s="99"/>
      <c r="D58" s="96"/>
      <c r="E58" s="303"/>
      <c r="F58" s="303"/>
      <c r="G58" s="97"/>
      <c r="H58" s="114" t="e">
        <f t="shared" si="4"/>
        <v>#DIV/0!</v>
      </c>
      <c r="I58" s="97">
        <f t="shared" si="6"/>
        <v>0</v>
      </c>
      <c r="J58" s="104" t="e">
        <f t="shared" si="5"/>
        <v>#DIV/0!</v>
      </c>
      <c r="K58" s="35">
        <f t="shared" si="2"/>
        <v>0</v>
      </c>
    </row>
    <row r="59" spans="2:11" x14ac:dyDescent="0.5">
      <c r="B59" s="99">
        <v>230</v>
      </c>
      <c r="C59" s="99"/>
      <c r="D59" s="96"/>
      <c r="E59" s="303"/>
      <c r="F59" s="303"/>
      <c r="G59" s="97"/>
      <c r="H59" s="114" t="e">
        <f t="shared" si="4"/>
        <v>#DIV/0!</v>
      </c>
      <c r="I59" s="97">
        <f t="shared" si="6"/>
        <v>0</v>
      </c>
      <c r="J59" s="214" t="e">
        <f t="shared" si="5"/>
        <v>#DIV/0!</v>
      </c>
      <c r="K59" s="35">
        <f t="shared" si="2"/>
        <v>0</v>
      </c>
    </row>
    <row r="60" spans="2:11" x14ac:dyDescent="0.5">
      <c r="B60" s="99">
        <v>231</v>
      </c>
      <c r="C60" s="99"/>
      <c r="D60" s="96"/>
      <c r="E60" s="303"/>
      <c r="F60" s="303"/>
      <c r="G60" s="97"/>
      <c r="H60" s="114" t="e">
        <f t="shared" si="4"/>
        <v>#DIV/0!</v>
      </c>
      <c r="I60" s="97">
        <f t="shared" si="6"/>
        <v>0</v>
      </c>
      <c r="J60" s="214" t="e">
        <f t="shared" si="5"/>
        <v>#DIV/0!</v>
      </c>
      <c r="K60" s="97">
        <f t="shared" si="2"/>
        <v>0</v>
      </c>
    </row>
    <row r="61" spans="2:11" x14ac:dyDescent="0.5">
      <c r="B61" s="99">
        <v>236</v>
      </c>
      <c r="C61" s="99"/>
      <c r="D61" s="96"/>
      <c r="E61" s="303"/>
      <c r="F61" s="303"/>
      <c r="G61" s="97"/>
      <c r="H61" s="114" t="e">
        <f t="shared" si="4"/>
        <v>#DIV/0!</v>
      </c>
      <c r="I61" s="97">
        <f t="shared" si="6"/>
        <v>0</v>
      </c>
      <c r="J61" s="214" t="e">
        <f t="shared" si="5"/>
        <v>#DIV/0!</v>
      </c>
      <c r="K61" s="97">
        <f t="shared" si="2"/>
        <v>0</v>
      </c>
    </row>
    <row r="62" spans="2:11" x14ac:dyDescent="0.5">
      <c r="B62" s="99">
        <v>237</v>
      </c>
      <c r="C62" s="99"/>
      <c r="D62" s="96"/>
      <c r="E62" s="303"/>
      <c r="F62" s="303"/>
      <c r="G62" s="97"/>
      <c r="H62" s="114" t="e">
        <f t="shared" si="4"/>
        <v>#DIV/0!</v>
      </c>
      <c r="I62" s="97">
        <f t="shared" si="6"/>
        <v>0</v>
      </c>
      <c r="J62" s="214" t="e">
        <f t="shared" si="5"/>
        <v>#DIV/0!</v>
      </c>
      <c r="K62" s="97">
        <f t="shared" si="2"/>
        <v>0</v>
      </c>
    </row>
    <row r="63" spans="2:11" x14ac:dyDescent="0.5">
      <c r="B63" s="99">
        <v>238</v>
      </c>
      <c r="C63" s="99"/>
      <c r="D63" s="96"/>
      <c r="E63" s="303"/>
      <c r="F63" s="303"/>
      <c r="G63" s="97"/>
      <c r="H63" s="114" t="e">
        <f t="shared" si="4"/>
        <v>#DIV/0!</v>
      </c>
      <c r="I63" s="97">
        <f t="shared" si="6"/>
        <v>0</v>
      </c>
      <c r="J63" s="214" t="e">
        <f t="shared" si="5"/>
        <v>#DIV/0!</v>
      </c>
      <c r="K63" s="97">
        <f t="shared" si="2"/>
        <v>0</v>
      </c>
    </row>
    <row r="64" spans="2:11" x14ac:dyDescent="0.5">
      <c r="B64" s="99">
        <v>239</v>
      </c>
      <c r="C64" s="99"/>
      <c r="D64" s="96"/>
      <c r="E64" s="303"/>
      <c r="F64" s="303"/>
      <c r="G64" s="97"/>
      <c r="H64" s="114" t="e">
        <f t="shared" si="4"/>
        <v>#DIV/0!</v>
      </c>
      <c r="I64" s="97">
        <f t="shared" si="6"/>
        <v>0</v>
      </c>
      <c r="J64" s="214" t="e">
        <f t="shared" ref="J64:J110" si="7">G64/I64</f>
        <v>#DIV/0!</v>
      </c>
      <c r="K64" s="199">
        <f t="shared" ref="K64:K98" si="8">G64-I64</f>
        <v>0</v>
      </c>
    </row>
    <row r="65" spans="2:11" x14ac:dyDescent="0.5">
      <c r="B65" s="99">
        <v>240</v>
      </c>
      <c r="C65" s="99"/>
      <c r="D65" s="96"/>
      <c r="E65" s="303"/>
      <c r="F65" s="303"/>
      <c r="G65" s="97"/>
      <c r="H65" s="114" t="e">
        <f t="shared" si="4"/>
        <v>#DIV/0!</v>
      </c>
      <c r="I65" s="97">
        <f t="shared" si="6"/>
        <v>0</v>
      </c>
      <c r="J65" s="214" t="e">
        <f t="shared" si="7"/>
        <v>#DIV/0!</v>
      </c>
      <c r="K65" s="199">
        <f t="shared" si="8"/>
        <v>0</v>
      </c>
    </row>
    <row r="66" spans="2:11" x14ac:dyDescent="0.5">
      <c r="B66" s="99">
        <v>241</v>
      </c>
      <c r="C66" s="99"/>
      <c r="D66" s="96"/>
      <c r="E66" s="303"/>
      <c r="F66" s="303"/>
      <c r="G66" s="97"/>
      <c r="H66" s="114" t="e">
        <f t="shared" si="4"/>
        <v>#DIV/0!</v>
      </c>
      <c r="I66" s="97">
        <f t="shared" si="6"/>
        <v>0</v>
      </c>
      <c r="J66" s="214" t="e">
        <f t="shared" si="7"/>
        <v>#DIV/0!</v>
      </c>
      <c r="K66" s="199">
        <f t="shared" si="8"/>
        <v>0</v>
      </c>
    </row>
    <row r="67" spans="2:11" x14ac:dyDescent="0.5">
      <c r="B67" s="99">
        <v>242</v>
      </c>
      <c r="C67" s="99"/>
      <c r="D67" s="96"/>
      <c r="E67" s="303"/>
      <c r="F67" s="303"/>
      <c r="G67" s="97"/>
      <c r="H67" s="114" t="e">
        <f t="shared" si="4"/>
        <v>#DIV/0!</v>
      </c>
      <c r="I67" s="97">
        <f t="shared" si="6"/>
        <v>0</v>
      </c>
      <c r="J67" s="214" t="e">
        <f t="shared" si="7"/>
        <v>#DIV/0!</v>
      </c>
      <c r="K67" s="199">
        <f t="shared" si="8"/>
        <v>0</v>
      </c>
    </row>
    <row r="68" spans="2:11" x14ac:dyDescent="0.5">
      <c r="B68" s="99">
        <v>243</v>
      </c>
      <c r="C68" s="99"/>
      <c r="D68" s="96"/>
      <c r="E68" s="303"/>
      <c r="F68" s="303"/>
      <c r="G68" s="97"/>
      <c r="H68" s="114" t="e">
        <f t="shared" si="4"/>
        <v>#DIV/0!</v>
      </c>
      <c r="I68" s="97">
        <f t="shared" si="6"/>
        <v>0</v>
      </c>
      <c r="J68" s="214" t="e">
        <f t="shared" si="7"/>
        <v>#DIV/0!</v>
      </c>
      <c r="K68" s="199">
        <f t="shared" si="8"/>
        <v>0</v>
      </c>
    </row>
    <row r="69" spans="2:11" x14ac:dyDescent="0.5">
      <c r="B69" s="99">
        <v>244</v>
      </c>
      <c r="C69" s="99"/>
      <c r="D69" s="96"/>
      <c r="E69" s="303"/>
      <c r="F69" s="303"/>
      <c r="G69" s="97"/>
      <c r="H69" s="114" t="e">
        <f t="shared" si="4"/>
        <v>#DIV/0!</v>
      </c>
      <c r="I69" s="97">
        <f t="shared" si="6"/>
        <v>0</v>
      </c>
      <c r="J69" s="214" t="e">
        <f t="shared" si="7"/>
        <v>#DIV/0!</v>
      </c>
      <c r="K69" s="213">
        <f t="shared" si="8"/>
        <v>0</v>
      </c>
    </row>
    <row r="70" spans="2:11" x14ac:dyDescent="0.5">
      <c r="B70" s="99">
        <v>245</v>
      </c>
      <c r="C70" s="99"/>
      <c r="D70" s="96"/>
      <c r="E70" s="303"/>
      <c r="F70" s="303"/>
      <c r="G70" s="97"/>
      <c r="H70" s="114" t="e">
        <f t="shared" si="4"/>
        <v>#DIV/0!</v>
      </c>
      <c r="I70" s="97">
        <f t="shared" si="6"/>
        <v>0</v>
      </c>
      <c r="J70" s="214" t="e">
        <f t="shared" si="7"/>
        <v>#DIV/0!</v>
      </c>
      <c r="K70" s="213">
        <f t="shared" si="8"/>
        <v>0</v>
      </c>
    </row>
    <row r="71" spans="2:11" x14ac:dyDescent="0.5">
      <c r="B71" s="99">
        <v>246</v>
      </c>
      <c r="C71" s="99"/>
      <c r="D71" s="96"/>
      <c r="E71" s="303"/>
      <c r="F71" s="303"/>
      <c r="G71" s="97"/>
      <c r="H71" s="114" t="e">
        <f t="shared" si="4"/>
        <v>#DIV/0!</v>
      </c>
      <c r="I71" s="97">
        <f t="shared" si="6"/>
        <v>0</v>
      </c>
      <c r="J71" s="214" t="e">
        <f t="shared" si="7"/>
        <v>#DIV/0!</v>
      </c>
      <c r="K71" s="213">
        <f t="shared" si="8"/>
        <v>0</v>
      </c>
    </row>
    <row r="72" spans="2:11" x14ac:dyDescent="0.5">
      <c r="B72" s="99">
        <v>247</v>
      </c>
      <c r="C72" s="99"/>
      <c r="D72" s="96"/>
      <c r="E72" s="303"/>
      <c r="F72" s="303"/>
      <c r="G72" s="97"/>
      <c r="H72" s="114" t="e">
        <f t="shared" si="4"/>
        <v>#DIV/0!</v>
      </c>
      <c r="I72" s="97">
        <f t="shared" si="6"/>
        <v>0</v>
      </c>
      <c r="J72" s="214" t="e">
        <f t="shared" si="7"/>
        <v>#DIV/0!</v>
      </c>
      <c r="K72" s="213">
        <f t="shared" si="8"/>
        <v>0</v>
      </c>
    </row>
    <row r="73" spans="2:11" x14ac:dyDescent="0.5">
      <c r="B73" s="99">
        <v>248</v>
      </c>
      <c r="C73" s="99"/>
      <c r="D73" s="96"/>
      <c r="E73" s="303"/>
      <c r="F73" s="303"/>
      <c r="G73" s="97"/>
      <c r="H73" s="114" t="e">
        <f t="shared" si="4"/>
        <v>#DIV/0!</v>
      </c>
      <c r="I73" s="97">
        <f t="shared" si="6"/>
        <v>0</v>
      </c>
      <c r="J73" s="214" t="e">
        <f t="shared" si="7"/>
        <v>#DIV/0!</v>
      </c>
      <c r="K73" s="213">
        <f t="shared" si="8"/>
        <v>0</v>
      </c>
    </row>
    <row r="74" spans="2:11" x14ac:dyDescent="0.5">
      <c r="B74" s="99">
        <v>249</v>
      </c>
      <c r="C74" s="99"/>
      <c r="D74" s="96"/>
      <c r="E74" s="303"/>
      <c r="F74" s="303"/>
      <c r="G74" s="97"/>
      <c r="H74" s="114" t="e">
        <f t="shared" si="4"/>
        <v>#DIV/0!</v>
      </c>
      <c r="I74" s="97">
        <f t="shared" si="6"/>
        <v>0</v>
      </c>
      <c r="J74" s="214" t="e">
        <f t="shared" si="7"/>
        <v>#DIV/0!</v>
      </c>
      <c r="K74" s="213">
        <f t="shared" si="8"/>
        <v>0</v>
      </c>
    </row>
    <row r="75" spans="2:11" x14ac:dyDescent="0.5">
      <c r="B75" s="99">
        <v>250</v>
      </c>
      <c r="C75" s="99"/>
      <c r="D75" s="96"/>
      <c r="E75" s="303"/>
      <c r="F75" s="303"/>
      <c r="G75" s="97"/>
      <c r="H75" s="114" t="e">
        <f t="shared" si="4"/>
        <v>#DIV/0!</v>
      </c>
      <c r="I75" s="97">
        <f t="shared" si="6"/>
        <v>0</v>
      </c>
      <c r="J75" s="214" t="e">
        <f t="shared" si="7"/>
        <v>#DIV/0!</v>
      </c>
      <c r="K75" s="213">
        <f t="shared" si="8"/>
        <v>0</v>
      </c>
    </row>
    <row r="76" spans="2:11" x14ac:dyDescent="0.5">
      <c r="B76" s="99">
        <v>251</v>
      </c>
      <c r="C76" s="99"/>
      <c r="D76" s="96"/>
      <c r="E76" s="303"/>
      <c r="F76" s="303"/>
      <c r="G76" s="97"/>
      <c r="H76" s="114" t="e">
        <f t="shared" si="4"/>
        <v>#DIV/0!</v>
      </c>
      <c r="I76" s="97">
        <f t="shared" si="6"/>
        <v>0</v>
      </c>
      <c r="J76" s="214" t="e">
        <f t="shared" si="7"/>
        <v>#DIV/0!</v>
      </c>
      <c r="K76" s="213">
        <f t="shared" si="8"/>
        <v>0</v>
      </c>
    </row>
    <row r="77" spans="2:11" x14ac:dyDescent="0.5">
      <c r="B77" s="99">
        <v>252</v>
      </c>
      <c r="C77" s="99"/>
      <c r="D77" s="96"/>
      <c r="E77" s="303"/>
      <c r="F77" s="303"/>
      <c r="G77" s="97"/>
      <c r="H77" s="114" t="e">
        <f t="shared" si="4"/>
        <v>#DIV/0!</v>
      </c>
      <c r="I77" s="97">
        <f t="shared" si="6"/>
        <v>0</v>
      </c>
      <c r="J77" s="214" t="e">
        <f t="shared" si="7"/>
        <v>#DIV/0!</v>
      </c>
      <c r="K77" s="213">
        <f t="shared" si="8"/>
        <v>0</v>
      </c>
    </row>
    <row r="78" spans="2:11" x14ac:dyDescent="0.5">
      <c r="B78" s="99">
        <v>253</v>
      </c>
      <c r="C78" s="99"/>
      <c r="D78" s="96"/>
      <c r="E78" s="303"/>
      <c r="F78" s="303"/>
      <c r="G78" s="97"/>
      <c r="H78" s="114"/>
      <c r="I78" s="97">
        <f t="shared" si="6"/>
        <v>0</v>
      </c>
      <c r="J78" s="214" t="e">
        <f t="shared" si="7"/>
        <v>#DIV/0!</v>
      </c>
      <c r="K78" s="35">
        <f t="shared" si="8"/>
        <v>0</v>
      </c>
    </row>
    <row r="79" spans="2:11" x14ac:dyDescent="0.5">
      <c r="B79" s="99">
        <v>254</v>
      </c>
      <c r="C79" s="99"/>
      <c r="D79" s="96"/>
      <c r="E79" s="303"/>
      <c r="F79" s="303"/>
      <c r="G79" s="97"/>
      <c r="H79" s="114"/>
      <c r="I79" s="97">
        <f t="shared" si="6"/>
        <v>0</v>
      </c>
      <c r="J79" s="214" t="e">
        <f t="shared" si="7"/>
        <v>#DIV/0!</v>
      </c>
      <c r="K79" s="35">
        <f t="shared" si="8"/>
        <v>0</v>
      </c>
    </row>
    <row r="80" spans="2:11" x14ac:dyDescent="0.5">
      <c r="B80" s="34">
        <v>255</v>
      </c>
      <c r="C80" s="34"/>
      <c r="D80" s="19"/>
      <c r="E80" s="302"/>
      <c r="F80" s="302"/>
      <c r="G80" s="35"/>
      <c r="H80" s="36"/>
      <c r="I80" s="182">
        <f t="shared" si="6"/>
        <v>0</v>
      </c>
      <c r="J80" s="78" t="e">
        <f t="shared" si="7"/>
        <v>#DIV/0!</v>
      </c>
      <c r="K80" s="35">
        <f t="shared" si="8"/>
        <v>0</v>
      </c>
    </row>
    <row r="81" spans="2:11" x14ac:dyDescent="0.5">
      <c r="B81" s="34">
        <v>256</v>
      </c>
      <c r="C81" s="34"/>
      <c r="D81" s="19"/>
      <c r="E81" s="302"/>
      <c r="F81" s="302"/>
      <c r="G81" s="35"/>
      <c r="H81" s="36"/>
      <c r="I81" s="182">
        <f t="shared" si="6"/>
        <v>0</v>
      </c>
      <c r="J81" s="78" t="e">
        <f t="shared" si="7"/>
        <v>#DIV/0!</v>
      </c>
      <c r="K81" s="35">
        <f t="shared" si="8"/>
        <v>0</v>
      </c>
    </row>
    <row r="82" spans="2:11" x14ac:dyDescent="0.5">
      <c r="B82" s="34">
        <v>257</v>
      </c>
      <c r="C82" s="34"/>
      <c r="D82" s="19"/>
      <c r="E82" s="302"/>
      <c r="F82" s="302"/>
      <c r="G82" s="35"/>
      <c r="H82" s="36"/>
      <c r="I82" s="182">
        <f t="shared" si="6"/>
        <v>0</v>
      </c>
      <c r="J82" s="78" t="e">
        <f t="shared" si="7"/>
        <v>#DIV/0!</v>
      </c>
      <c r="K82" s="35">
        <f t="shared" si="8"/>
        <v>0</v>
      </c>
    </row>
    <row r="83" spans="2:11" x14ac:dyDescent="0.5">
      <c r="B83" s="34">
        <v>258</v>
      </c>
      <c r="C83" s="34"/>
      <c r="D83" s="19"/>
      <c r="E83" s="302"/>
      <c r="F83" s="302"/>
      <c r="G83" s="35"/>
      <c r="H83" s="36"/>
      <c r="I83" s="182">
        <f t="shared" si="6"/>
        <v>0</v>
      </c>
      <c r="J83" s="78" t="e">
        <f t="shared" si="7"/>
        <v>#DIV/0!</v>
      </c>
      <c r="K83" s="35">
        <f t="shared" si="8"/>
        <v>0</v>
      </c>
    </row>
    <row r="84" spans="2:11" x14ac:dyDescent="0.5">
      <c r="B84" s="34">
        <v>259</v>
      </c>
      <c r="C84" s="34"/>
      <c r="D84" s="19"/>
      <c r="E84" s="302"/>
      <c r="F84" s="302"/>
      <c r="G84" s="35"/>
      <c r="H84" s="36"/>
      <c r="I84" s="182">
        <f t="shared" si="6"/>
        <v>0</v>
      </c>
      <c r="J84" s="78" t="e">
        <f t="shared" si="7"/>
        <v>#DIV/0!</v>
      </c>
      <c r="K84" s="35">
        <f t="shared" si="8"/>
        <v>0</v>
      </c>
    </row>
    <row r="85" spans="2:11" x14ac:dyDescent="0.5">
      <c r="B85" s="34">
        <v>260</v>
      </c>
      <c r="C85" s="34"/>
      <c r="D85" s="19"/>
      <c r="E85" s="302"/>
      <c r="F85" s="302"/>
      <c r="G85" s="35"/>
      <c r="H85" s="36"/>
      <c r="I85" s="182">
        <f t="shared" si="6"/>
        <v>0</v>
      </c>
      <c r="J85" s="78" t="e">
        <f t="shared" si="7"/>
        <v>#DIV/0!</v>
      </c>
      <c r="K85" s="35">
        <f t="shared" si="8"/>
        <v>0</v>
      </c>
    </row>
    <row r="86" spans="2:11" x14ac:dyDescent="0.5">
      <c r="B86" s="34">
        <v>261</v>
      </c>
      <c r="C86" s="34"/>
      <c r="D86" s="19"/>
      <c r="E86" s="302"/>
      <c r="F86" s="302"/>
      <c r="G86" s="35"/>
      <c r="H86" s="36"/>
      <c r="I86" s="182">
        <f t="shared" si="6"/>
        <v>0</v>
      </c>
      <c r="J86" s="78" t="e">
        <f t="shared" si="7"/>
        <v>#DIV/0!</v>
      </c>
      <c r="K86" s="35">
        <f t="shared" si="8"/>
        <v>0</v>
      </c>
    </row>
    <row r="87" spans="2:11" x14ac:dyDescent="0.5">
      <c r="B87" s="34">
        <v>262</v>
      </c>
      <c r="C87" s="34"/>
      <c r="D87" s="19"/>
      <c r="E87" s="302"/>
      <c r="F87" s="302"/>
      <c r="G87" s="35"/>
      <c r="H87" s="36"/>
      <c r="I87" s="182">
        <f t="shared" si="6"/>
        <v>0</v>
      </c>
      <c r="J87" s="78" t="e">
        <f t="shared" si="7"/>
        <v>#DIV/0!</v>
      </c>
      <c r="K87" s="35">
        <f t="shared" si="8"/>
        <v>0</v>
      </c>
    </row>
    <row r="88" spans="2:11" x14ac:dyDescent="0.5">
      <c r="B88" s="34">
        <v>263</v>
      </c>
      <c r="C88" s="34"/>
      <c r="D88" s="19"/>
      <c r="E88" s="302"/>
      <c r="F88" s="302"/>
      <c r="G88" s="35"/>
      <c r="H88" s="36"/>
      <c r="I88" s="182">
        <f t="shared" si="6"/>
        <v>0</v>
      </c>
      <c r="J88" s="78" t="e">
        <f t="shared" si="7"/>
        <v>#DIV/0!</v>
      </c>
      <c r="K88" s="35">
        <f t="shared" si="8"/>
        <v>0</v>
      </c>
    </row>
    <row r="89" spans="2:11" x14ac:dyDescent="0.5">
      <c r="B89" s="34">
        <v>264</v>
      </c>
      <c r="C89" s="34"/>
      <c r="D89" s="19"/>
      <c r="E89" s="302"/>
      <c r="F89" s="302"/>
      <c r="G89" s="35"/>
      <c r="H89" s="36"/>
      <c r="I89" s="182">
        <f t="shared" si="6"/>
        <v>0</v>
      </c>
      <c r="J89" s="78" t="e">
        <f t="shared" si="7"/>
        <v>#DIV/0!</v>
      </c>
      <c r="K89" s="35">
        <f t="shared" si="8"/>
        <v>0</v>
      </c>
    </row>
    <row r="90" spans="2:11" x14ac:dyDescent="0.5">
      <c r="B90" s="34">
        <v>265</v>
      </c>
      <c r="C90" s="34"/>
      <c r="D90" s="19"/>
      <c r="E90" s="302"/>
      <c r="F90" s="302"/>
      <c r="G90" s="35"/>
      <c r="H90" s="36"/>
      <c r="I90" s="182">
        <f t="shared" si="6"/>
        <v>0</v>
      </c>
      <c r="J90" s="78" t="e">
        <f t="shared" si="7"/>
        <v>#DIV/0!</v>
      </c>
      <c r="K90" s="35">
        <f t="shared" si="8"/>
        <v>0</v>
      </c>
    </row>
    <row r="91" spans="2:11" x14ac:dyDescent="0.5">
      <c r="B91" s="34">
        <v>266</v>
      </c>
      <c r="C91" s="34"/>
      <c r="D91" s="19"/>
      <c r="E91" s="302"/>
      <c r="F91" s="302"/>
      <c r="G91" s="35"/>
      <c r="H91" s="36"/>
      <c r="I91" s="182">
        <f t="shared" si="6"/>
        <v>0</v>
      </c>
      <c r="J91" s="78" t="e">
        <f t="shared" si="7"/>
        <v>#DIV/0!</v>
      </c>
      <c r="K91" s="35">
        <f t="shared" si="8"/>
        <v>0</v>
      </c>
    </row>
    <row r="92" spans="2:11" x14ac:dyDescent="0.5">
      <c r="B92" s="34">
        <v>267</v>
      </c>
      <c r="C92" s="34"/>
      <c r="D92" s="19"/>
      <c r="E92" s="302"/>
      <c r="F92" s="302"/>
      <c r="G92" s="35"/>
      <c r="H92" s="36"/>
      <c r="I92" s="182">
        <f t="shared" si="6"/>
        <v>0</v>
      </c>
      <c r="J92" s="78" t="e">
        <f t="shared" si="7"/>
        <v>#DIV/0!</v>
      </c>
      <c r="K92" s="35">
        <f t="shared" si="8"/>
        <v>0</v>
      </c>
    </row>
    <row r="93" spans="2:11" x14ac:dyDescent="0.5">
      <c r="B93" s="34">
        <v>268</v>
      </c>
      <c r="C93" s="34"/>
      <c r="D93" s="19"/>
      <c r="E93" s="302"/>
      <c r="F93" s="302"/>
      <c r="G93" s="35"/>
      <c r="H93" s="36"/>
      <c r="I93" s="182">
        <f t="shared" si="6"/>
        <v>0</v>
      </c>
      <c r="J93" s="78" t="e">
        <f t="shared" si="7"/>
        <v>#DIV/0!</v>
      </c>
      <c r="K93" s="35">
        <f t="shared" si="8"/>
        <v>0</v>
      </c>
    </row>
    <row r="94" spans="2:11" x14ac:dyDescent="0.5">
      <c r="B94" s="34">
        <v>269</v>
      </c>
      <c r="C94" s="34"/>
      <c r="D94" s="19"/>
      <c r="E94" s="302"/>
      <c r="F94" s="302"/>
      <c r="G94" s="35"/>
      <c r="H94" s="36"/>
      <c r="I94" s="182">
        <f t="shared" si="6"/>
        <v>0</v>
      </c>
      <c r="J94" s="78" t="e">
        <f t="shared" si="7"/>
        <v>#DIV/0!</v>
      </c>
      <c r="K94" s="35">
        <f t="shared" si="8"/>
        <v>0</v>
      </c>
    </row>
    <row r="95" spans="2:11" x14ac:dyDescent="0.5">
      <c r="B95" s="34">
        <v>270</v>
      </c>
      <c r="C95" s="34"/>
      <c r="D95" s="19"/>
      <c r="E95" s="302"/>
      <c r="F95" s="302"/>
      <c r="G95" s="35"/>
      <c r="H95" s="36"/>
      <c r="I95" s="182">
        <f t="shared" si="6"/>
        <v>0</v>
      </c>
      <c r="J95" s="78" t="e">
        <f t="shared" si="7"/>
        <v>#DIV/0!</v>
      </c>
      <c r="K95" s="35">
        <f t="shared" si="8"/>
        <v>0</v>
      </c>
    </row>
    <row r="96" spans="2:11" x14ac:dyDescent="0.5">
      <c r="B96" s="34">
        <v>271</v>
      </c>
      <c r="C96" s="34"/>
      <c r="D96" s="19"/>
      <c r="E96" s="302"/>
      <c r="F96" s="302"/>
      <c r="G96" s="35"/>
      <c r="H96" s="36"/>
      <c r="I96" s="182">
        <f t="shared" si="6"/>
        <v>0</v>
      </c>
      <c r="J96" s="78" t="e">
        <f t="shared" si="7"/>
        <v>#DIV/0!</v>
      </c>
      <c r="K96" s="35">
        <f t="shared" si="8"/>
        <v>0</v>
      </c>
    </row>
    <row r="97" spans="2:11" x14ac:dyDescent="0.5">
      <c r="B97" s="34">
        <v>272</v>
      </c>
      <c r="C97" s="34"/>
      <c r="D97" s="19"/>
      <c r="E97" s="302"/>
      <c r="F97" s="302"/>
      <c r="G97" s="35"/>
      <c r="H97" s="36"/>
      <c r="I97" s="182">
        <f t="shared" si="6"/>
        <v>0</v>
      </c>
      <c r="J97" s="78" t="e">
        <f t="shared" si="7"/>
        <v>#DIV/0!</v>
      </c>
      <c r="K97" s="35">
        <f t="shared" si="8"/>
        <v>0</v>
      </c>
    </row>
    <row r="98" spans="2:11" x14ac:dyDescent="0.5">
      <c r="B98" s="34">
        <v>273</v>
      </c>
      <c r="C98" s="34"/>
      <c r="D98" s="19"/>
      <c r="E98" s="302"/>
      <c r="F98" s="302"/>
      <c r="G98" s="35"/>
      <c r="H98" s="36"/>
      <c r="I98" s="182">
        <f t="shared" si="6"/>
        <v>0</v>
      </c>
      <c r="J98" s="78" t="e">
        <f t="shared" si="7"/>
        <v>#DIV/0!</v>
      </c>
      <c r="K98" s="35">
        <f t="shared" si="8"/>
        <v>0</v>
      </c>
    </row>
    <row r="99" spans="2:11" x14ac:dyDescent="0.5">
      <c r="B99" s="34">
        <v>274</v>
      </c>
      <c r="C99" s="34"/>
      <c r="D99" s="19"/>
      <c r="E99" s="302"/>
      <c r="F99" s="302"/>
      <c r="G99" s="35"/>
      <c r="H99" s="36"/>
      <c r="I99" s="182">
        <f t="shared" si="6"/>
        <v>0</v>
      </c>
      <c r="J99" s="78" t="e">
        <f t="shared" si="7"/>
        <v>#DIV/0!</v>
      </c>
      <c r="K99" s="19"/>
    </row>
    <row r="100" spans="2:11" x14ac:dyDescent="0.5">
      <c r="B100" s="34">
        <v>275</v>
      </c>
      <c r="C100" s="34"/>
      <c r="D100" s="19"/>
      <c r="E100" s="302"/>
      <c r="F100" s="302"/>
      <c r="G100" s="35"/>
      <c r="H100" s="36"/>
      <c r="I100" s="182">
        <f t="shared" si="6"/>
        <v>0</v>
      </c>
      <c r="J100" s="78" t="e">
        <f t="shared" si="7"/>
        <v>#DIV/0!</v>
      </c>
      <c r="K100" s="19"/>
    </row>
    <row r="101" spans="2:11" x14ac:dyDescent="0.5">
      <c r="B101" s="34">
        <v>276</v>
      </c>
      <c r="C101" s="34"/>
      <c r="D101" s="19"/>
      <c r="E101" s="302"/>
      <c r="F101" s="302"/>
      <c r="G101" s="35"/>
      <c r="H101" s="36"/>
      <c r="I101" s="182">
        <f t="shared" si="6"/>
        <v>0</v>
      </c>
      <c r="J101" s="78" t="e">
        <f t="shared" si="7"/>
        <v>#DIV/0!</v>
      </c>
      <c r="K101" s="19"/>
    </row>
    <row r="102" spans="2:11" x14ac:dyDescent="0.5">
      <c r="B102" s="34">
        <v>277</v>
      </c>
      <c r="C102" s="34"/>
      <c r="D102" s="19"/>
      <c r="E102" s="302"/>
      <c r="F102" s="302"/>
      <c r="G102" s="35"/>
      <c r="H102" s="36"/>
      <c r="I102" s="182">
        <f t="shared" si="6"/>
        <v>0</v>
      </c>
      <c r="J102" s="78" t="e">
        <f t="shared" si="7"/>
        <v>#DIV/0!</v>
      </c>
      <c r="K102" s="19"/>
    </row>
    <row r="103" spans="2:11" x14ac:dyDescent="0.5">
      <c r="B103" s="34">
        <v>278</v>
      </c>
      <c r="C103" s="34"/>
      <c r="D103" s="19"/>
      <c r="E103" s="302"/>
      <c r="F103" s="302"/>
      <c r="G103" s="35"/>
      <c r="H103" s="36"/>
      <c r="I103" s="182">
        <f t="shared" ref="I103:I118" si="9">E103/1.9</f>
        <v>0</v>
      </c>
      <c r="J103" s="78" t="e">
        <f t="shared" si="7"/>
        <v>#DIV/0!</v>
      </c>
      <c r="K103" s="19"/>
    </row>
    <row r="104" spans="2:11" x14ac:dyDescent="0.5">
      <c r="B104" s="34">
        <v>279</v>
      </c>
      <c r="C104" s="34"/>
      <c r="D104" s="19"/>
      <c r="E104" s="302"/>
      <c r="F104" s="302"/>
      <c r="G104" s="35"/>
      <c r="H104" s="36"/>
      <c r="I104" s="182">
        <f t="shared" si="9"/>
        <v>0</v>
      </c>
      <c r="J104" s="78" t="e">
        <f t="shared" si="7"/>
        <v>#DIV/0!</v>
      </c>
      <c r="K104" s="19"/>
    </row>
    <row r="105" spans="2:11" x14ac:dyDescent="0.5">
      <c r="B105" s="34">
        <v>280</v>
      </c>
      <c r="C105" s="34"/>
      <c r="D105" s="19"/>
      <c r="E105" s="302"/>
      <c r="F105" s="302"/>
      <c r="G105" s="35"/>
      <c r="H105" s="36"/>
      <c r="I105" s="182">
        <f t="shared" si="9"/>
        <v>0</v>
      </c>
      <c r="J105" s="78" t="e">
        <f t="shared" si="7"/>
        <v>#DIV/0!</v>
      </c>
      <c r="K105" s="19"/>
    </row>
    <row r="106" spans="2:11" x14ac:dyDescent="0.5">
      <c r="B106" s="34">
        <v>281</v>
      </c>
      <c r="C106" s="34"/>
      <c r="D106" s="19"/>
      <c r="E106" s="302"/>
      <c r="F106" s="302"/>
      <c r="G106" s="35"/>
      <c r="H106" s="36"/>
      <c r="I106" s="182">
        <f t="shared" si="9"/>
        <v>0</v>
      </c>
      <c r="J106" s="78" t="e">
        <f t="shared" si="7"/>
        <v>#DIV/0!</v>
      </c>
      <c r="K106" s="19"/>
    </row>
    <row r="107" spans="2:11" x14ac:dyDescent="0.5">
      <c r="B107" s="34">
        <v>282</v>
      </c>
      <c r="C107" s="34"/>
      <c r="D107" s="19"/>
      <c r="E107" s="302"/>
      <c r="F107" s="302"/>
      <c r="G107" s="35"/>
      <c r="H107" s="36"/>
      <c r="I107" s="182">
        <f t="shared" si="9"/>
        <v>0</v>
      </c>
      <c r="J107" s="78" t="e">
        <f t="shared" si="7"/>
        <v>#DIV/0!</v>
      </c>
      <c r="K107" s="19"/>
    </row>
    <row r="108" spans="2:11" x14ac:dyDescent="0.5">
      <c r="B108" s="34">
        <v>283</v>
      </c>
      <c r="C108" s="34"/>
      <c r="D108" s="19"/>
      <c r="E108" s="302"/>
      <c r="F108" s="302"/>
      <c r="G108" s="35"/>
      <c r="H108" s="36"/>
      <c r="I108" s="182">
        <f t="shared" si="9"/>
        <v>0</v>
      </c>
      <c r="J108" s="78" t="e">
        <f t="shared" si="7"/>
        <v>#DIV/0!</v>
      </c>
      <c r="K108" s="19"/>
    </row>
    <row r="109" spans="2:11" x14ac:dyDescent="0.5">
      <c r="B109" s="34">
        <v>284</v>
      </c>
      <c r="C109" s="34"/>
      <c r="D109" s="19"/>
      <c r="E109" s="302"/>
      <c r="F109" s="302"/>
      <c r="G109" s="35"/>
      <c r="H109" s="36"/>
      <c r="I109" s="182">
        <f t="shared" si="9"/>
        <v>0</v>
      </c>
      <c r="J109" s="78" t="e">
        <f t="shared" si="7"/>
        <v>#DIV/0!</v>
      </c>
      <c r="K109" s="19"/>
    </row>
    <row r="110" spans="2:11" x14ac:dyDescent="0.5">
      <c r="B110" s="34">
        <v>285</v>
      </c>
      <c r="C110" s="34"/>
      <c r="D110" s="19"/>
      <c r="E110" s="302"/>
      <c r="F110" s="302"/>
      <c r="G110" s="35"/>
      <c r="H110" s="36"/>
      <c r="I110" s="182">
        <f t="shared" si="9"/>
        <v>0</v>
      </c>
      <c r="J110" s="78" t="e">
        <f t="shared" si="7"/>
        <v>#DIV/0!</v>
      </c>
      <c r="K110" s="19"/>
    </row>
    <row r="111" spans="2:11" x14ac:dyDescent="0.5">
      <c r="B111" s="34">
        <v>286</v>
      </c>
      <c r="C111" s="34"/>
      <c r="D111" s="19"/>
      <c r="E111" s="302"/>
      <c r="F111" s="302"/>
      <c r="G111" s="35"/>
      <c r="H111" s="36"/>
      <c r="I111" s="182">
        <f t="shared" si="9"/>
        <v>0</v>
      </c>
      <c r="J111" s="79"/>
      <c r="K111" s="19"/>
    </row>
    <row r="112" spans="2:11" x14ac:dyDescent="0.5">
      <c r="B112" s="34">
        <v>287</v>
      </c>
      <c r="C112" s="34"/>
      <c r="D112" s="19"/>
      <c r="E112" s="302"/>
      <c r="F112" s="302"/>
      <c r="G112" s="35"/>
      <c r="H112" s="36"/>
      <c r="I112" s="182">
        <f t="shared" si="9"/>
        <v>0</v>
      </c>
      <c r="J112" s="79"/>
      <c r="K112" s="19"/>
    </row>
    <row r="113" spans="2:11" x14ac:dyDescent="0.5">
      <c r="B113" s="34">
        <v>288</v>
      </c>
      <c r="C113" s="34"/>
      <c r="D113" s="19"/>
      <c r="E113" s="302"/>
      <c r="F113" s="302"/>
      <c r="G113" s="35"/>
      <c r="H113" s="36"/>
      <c r="I113" s="182">
        <f t="shared" si="9"/>
        <v>0</v>
      </c>
      <c r="J113" s="79"/>
      <c r="K113" s="19"/>
    </row>
    <row r="114" spans="2:11" x14ac:dyDescent="0.5">
      <c r="B114" s="34">
        <v>289</v>
      </c>
      <c r="C114" s="34"/>
      <c r="D114" s="19"/>
      <c r="E114" s="302"/>
      <c r="F114" s="302"/>
      <c r="G114" s="35"/>
      <c r="H114" s="36"/>
      <c r="I114" s="182">
        <f t="shared" si="9"/>
        <v>0</v>
      </c>
      <c r="J114" s="79"/>
      <c r="K114" s="19"/>
    </row>
    <row r="115" spans="2:11" x14ac:dyDescent="0.5">
      <c r="B115" s="34">
        <v>290</v>
      </c>
      <c r="C115" s="34"/>
      <c r="D115" s="19"/>
      <c r="E115" s="302"/>
      <c r="F115" s="302"/>
      <c r="G115" s="35"/>
      <c r="H115" s="36"/>
      <c r="I115" s="182">
        <f t="shared" si="9"/>
        <v>0</v>
      </c>
      <c r="J115" s="79"/>
      <c r="K115" s="19"/>
    </row>
    <row r="116" spans="2:11" x14ac:dyDescent="0.5">
      <c r="B116" s="34">
        <v>291</v>
      </c>
      <c r="C116" s="34"/>
      <c r="D116" s="19"/>
      <c r="E116" s="302"/>
      <c r="F116" s="302"/>
      <c r="G116" s="35"/>
      <c r="H116" s="36"/>
      <c r="I116" s="182">
        <f t="shared" si="9"/>
        <v>0</v>
      </c>
      <c r="J116" s="79"/>
      <c r="K116" s="19"/>
    </row>
    <row r="117" spans="2:11" x14ac:dyDescent="0.5">
      <c r="B117" s="34">
        <v>292</v>
      </c>
      <c r="C117" s="34"/>
      <c r="D117" s="19"/>
      <c r="E117" s="302"/>
      <c r="F117" s="302"/>
      <c r="G117" s="35"/>
      <c r="H117" s="36"/>
      <c r="I117" s="182">
        <f t="shared" si="9"/>
        <v>0</v>
      </c>
      <c r="J117" s="79"/>
      <c r="K117" s="19"/>
    </row>
    <row r="118" spans="2:11" x14ac:dyDescent="0.5">
      <c r="B118" s="34">
        <v>293</v>
      </c>
      <c r="C118" s="34"/>
      <c r="D118" s="19"/>
      <c r="E118" s="302"/>
      <c r="F118" s="302"/>
      <c r="G118" s="35"/>
      <c r="H118" s="36"/>
      <c r="I118" s="182">
        <f t="shared" si="9"/>
        <v>0</v>
      </c>
      <c r="J118" s="79"/>
      <c r="K118" s="19"/>
    </row>
    <row r="119" spans="2:11" x14ac:dyDescent="0.5">
      <c r="B119" s="34"/>
      <c r="C119" s="34"/>
      <c r="D119" s="19"/>
      <c r="E119" s="302"/>
      <c r="F119" s="302"/>
      <c r="G119" s="35"/>
      <c r="H119" s="36"/>
      <c r="I119" s="35"/>
      <c r="J119" s="79"/>
      <c r="K119" s="19"/>
    </row>
    <row r="120" spans="2:11" x14ac:dyDescent="0.5">
      <c r="B120" s="34"/>
      <c r="C120" s="34"/>
      <c r="D120" s="19"/>
      <c r="E120" s="302"/>
      <c r="F120" s="302"/>
      <c r="G120" s="35"/>
      <c r="H120" s="36"/>
      <c r="I120" s="35"/>
      <c r="J120" s="79"/>
      <c r="K120" s="19"/>
    </row>
    <row r="121" spans="2:11" x14ac:dyDescent="0.5">
      <c r="B121" s="34"/>
      <c r="C121" s="34"/>
      <c r="D121" s="19"/>
      <c r="E121" s="302"/>
      <c r="F121" s="302"/>
      <c r="G121" s="35"/>
      <c r="H121" s="36"/>
      <c r="I121" s="35"/>
      <c r="J121" s="79"/>
      <c r="K121" s="19"/>
    </row>
    <row r="122" spans="2:11" x14ac:dyDescent="0.5">
      <c r="B122" s="34"/>
      <c r="C122" s="34"/>
      <c r="D122" s="19"/>
      <c r="E122" s="302"/>
      <c r="F122" s="302"/>
      <c r="G122" s="35"/>
      <c r="H122" s="36"/>
      <c r="I122" s="35"/>
      <c r="J122" s="79"/>
      <c r="K122" s="19"/>
    </row>
    <row r="123" spans="2:11" x14ac:dyDescent="0.5">
      <c r="B123" s="34"/>
      <c r="C123" s="34"/>
      <c r="D123" s="19"/>
      <c r="E123" s="302"/>
      <c r="F123" s="302"/>
      <c r="G123" s="35"/>
      <c r="H123" s="36"/>
      <c r="I123" s="35"/>
      <c r="J123" s="79"/>
      <c r="K123" s="19"/>
    </row>
    <row r="124" spans="2:11" x14ac:dyDescent="0.5">
      <c r="B124" s="34"/>
      <c r="C124" s="34"/>
      <c r="D124" s="19"/>
      <c r="E124" s="302"/>
      <c r="F124" s="302"/>
      <c r="G124" s="35"/>
      <c r="H124" s="36"/>
      <c r="I124" s="35"/>
      <c r="J124" s="79"/>
      <c r="K124" s="19"/>
    </row>
    <row r="125" spans="2:11" x14ac:dyDescent="0.5">
      <c r="B125" s="34"/>
      <c r="C125" s="34"/>
      <c r="D125" s="19"/>
      <c r="E125" s="302"/>
      <c r="F125" s="302"/>
      <c r="G125" s="35"/>
      <c r="H125" s="36"/>
      <c r="I125" s="35"/>
      <c r="J125" s="79"/>
      <c r="K125" s="19"/>
    </row>
    <row r="126" spans="2:11" x14ac:dyDescent="0.5">
      <c r="B126" s="34"/>
      <c r="C126" s="34"/>
      <c r="D126" s="19"/>
      <c r="E126" s="302"/>
      <c r="F126" s="302"/>
      <c r="G126" s="35"/>
      <c r="H126" s="36"/>
      <c r="I126" s="35"/>
      <c r="J126" s="79"/>
      <c r="K126" s="19"/>
    </row>
    <row r="127" spans="2:11" x14ac:dyDescent="0.5">
      <c r="B127" s="34"/>
      <c r="C127" s="34"/>
      <c r="D127" s="19"/>
      <c r="E127" s="302"/>
      <c r="F127" s="302"/>
      <c r="G127" s="35"/>
      <c r="H127" s="36"/>
      <c r="I127" s="35"/>
      <c r="J127" s="79"/>
      <c r="K127" s="19"/>
    </row>
    <row r="128" spans="2:11" x14ac:dyDescent="0.5">
      <c r="B128" s="34"/>
      <c r="C128" s="34"/>
      <c r="D128" s="19"/>
      <c r="E128" s="302"/>
      <c r="F128" s="302"/>
      <c r="G128" s="35"/>
      <c r="H128" s="36"/>
      <c r="I128" s="35"/>
      <c r="J128" s="79"/>
      <c r="K128" s="19"/>
    </row>
    <row r="129" spans="2:11" x14ac:dyDescent="0.5">
      <c r="B129" s="34"/>
      <c r="C129" s="34"/>
      <c r="D129" s="19"/>
      <c r="E129" s="302"/>
      <c r="F129" s="302"/>
      <c r="G129" s="35"/>
      <c r="H129" s="36"/>
      <c r="I129" s="35"/>
      <c r="J129" s="79"/>
      <c r="K129" s="19"/>
    </row>
    <row r="130" spans="2:11" x14ac:dyDescent="0.5">
      <c r="B130" s="34"/>
      <c r="C130" s="34"/>
      <c r="D130" s="19"/>
      <c r="E130" s="302"/>
      <c r="F130" s="302"/>
      <c r="G130" s="35"/>
      <c r="H130" s="36"/>
      <c r="I130" s="35"/>
      <c r="J130" s="79"/>
      <c r="K130" s="19"/>
    </row>
    <row r="131" spans="2:11" x14ac:dyDescent="0.5">
      <c r="B131" s="34"/>
      <c r="C131" s="34"/>
      <c r="D131" s="19"/>
      <c r="E131" s="302"/>
      <c r="F131" s="302"/>
      <c r="G131" s="35"/>
      <c r="H131" s="36"/>
      <c r="I131" s="35"/>
      <c r="J131" s="79"/>
      <c r="K131" s="19"/>
    </row>
    <row r="132" spans="2:11" x14ac:dyDescent="0.5">
      <c r="B132" s="34"/>
      <c r="C132" s="34"/>
      <c r="D132" s="19"/>
      <c r="E132" s="302"/>
      <c r="F132" s="302"/>
      <c r="G132" s="35"/>
      <c r="H132" s="36"/>
      <c r="I132" s="35"/>
      <c r="J132" s="79"/>
      <c r="K132" s="19"/>
    </row>
    <row r="133" spans="2:11" x14ac:dyDescent="0.5">
      <c r="B133" s="34"/>
      <c r="C133" s="34"/>
      <c r="D133" s="19"/>
      <c r="E133" s="302"/>
      <c r="F133" s="302"/>
      <c r="G133" s="35"/>
      <c r="H133" s="36"/>
      <c r="I133" s="35"/>
      <c r="J133" s="79"/>
      <c r="K133" s="19"/>
    </row>
    <row r="134" spans="2:11" x14ac:dyDescent="0.5">
      <c r="B134" s="34"/>
      <c r="C134" s="34"/>
      <c r="D134" s="19"/>
      <c r="E134" s="302"/>
      <c r="F134" s="302"/>
      <c r="G134" s="35"/>
      <c r="H134" s="36"/>
      <c r="I134" s="35"/>
      <c r="J134" s="79"/>
      <c r="K134" s="19"/>
    </row>
    <row r="135" spans="2:11" x14ac:dyDescent="0.5">
      <c r="B135" s="34"/>
      <c r="C135" s="34"/>
      <c r="D135" s="19"/>
      <c r="E135" s="302"/>
      <c r="F135" s="302"/>
      <c r="G135" s="35"/>
      <c r="H135" s="36"/>
      <c r="I135" s="35"/>
      <c r="J135" s="79"/>
      <c r="K135" s="19"/>
    </row>
    <row r="136" spans="2:11" x14ac:dyDescent="0.5">
      <c r="B136" s="34"/>
      <c r="C136" s="34"/>
      <c r="D136" s="19"/>
      <c r="E136" s="302"/>
      <c r="F136" s="302"/>
      <c r="G136" s="35"/>
      <c r="H136" s="36"/>
      <c r="I136" s="35"/>
      <c r="J136" s="79"/>
      <c r="K136" s="19"/>
    </row>
    <row r="137" spans="2:11" x14ac:dyDescent="0.5">
      <c r="B137" s="34"/>
      <c r="C137" s="34"/>
      <c r="D137" s="19"/>
      <c r="E137" s="302"/>
      <c r="F137" s="302"/>
      <c r="G137" s="35"/>
      <c r="H137" s="36"/>
      <c r="I137" s="35"/>
      <c r="J137" s="79"/>
      <c r="K137" s="19"/>
    </row>
    <row r="138" spans="2:11" x14ac:dyDescent="0.5">
      <c r="B138" s="34"/>
      <c r="C138" s="34"/>
      <c r="D138" s="19"/>
      <c r="E138" s="302"/>
      <c r="F138" s="302"/>
      <c r="G138" s="35"/>
      <c r="H138" s="36"/>
      <c r="I138" s="35"/>
      <c r="J138" s="79"/>
      <c r="K138" s="19"/>
    </row>
    <row r="139" spans="2:11" x14ac:dyDescent="0.5">
      <c r="B139" s="34"/>
      <c r="C139" s="34"/>
      <c r="D139" s="19"/>
      <c r="E139" s="302"/>
      <c r="F139" s="302"/>
      <c r="G139" s="35"/>
      <c r="H139" s="36"/>
      <c r="I139" s="35"/>
      <c r="J139" s="79"/>
      <c r="K139" s="19"/>
    </row>
    <row r="140" spans="2:11" x14ac:dyDescent="0.5">
      <c r="B140" s="34"/>
      <c r="C140" s="34"/>
      <c r="D140" s="19"/>
      <c r="E140" s="302"/>
      <c r="F140" s="302"/>
      <c r="G140" s="35"/>
      <c r="H140" s="36"/>
      <c r="I140" s="35"/>
      <c r="J140" s="79"/>
      <c r="K140" s="19"/>
    </row>
    <row r="141" spans="2:11" x14ac:dyDescent="0.5">
      <c r="B141" s="34"/>
      <c r="C141" s="34"/>
      <c r="D141" s="19"/>
      <c r="E141" s="302"/>
      <c r="F141" s="302"/>
      <c r="G141" s="35"/>
      <c r="H141" s="36"/>
      <c r="I141" s="35"/>
      <c r="J141" s="79"/>
      <c r="K141" s="19"/>
    </row>
    <row r="142" spans="2:11" x14ac:dyDescent="0.5">
      <c r="B142" s="34"/>
      <c r="C142" s="34"/>
      <c r="D142" s="19"/>
      <c r="E142" s="302"/>
      <c r="F142" s="302"/>
      <c r="G142" s="35"/>
      <c r="H142" s="36"/>
      <c r="I142" s="35"/>
      <c r="J142" s="79"/>
      <c r="K142" s="19"/>
    </row>
    <row r="143" spans="2:11" x14ac:dyDescent="0.5">
      <c r="B143" s="34"/>
      <c r="C143" s="34"/>
      <c r="D143" s="19"/>
      <c r="E143" s="302"/>
      <c r="F143" s="302"/>
      <c r="G143" s="35"/>
      <c r="H143" s="36"/>
      <c r="I143" s="35"/>
      <c r="J143" s="79"/>
      <c r="K143" s="19"/>
    </row>
    <row r="144" spans="2:11" x14ac:dyDescent="0.5">
      <c r="B144" s="34"/>
      <c r="C144" s="34"/>
      <c r="D144" s="19"/>
      <c r="E144" s="302"/>
      <c r="F144" s="302"/>
      <c r="G144" s="35"/>
      <c r="H144" s="36"/>
      <c r="I144" s="35"/>
      <c r="J144" s="79"/>
      <c r="K144" s="19"/>
    </row>
    <row r="145" spans="2:11" x14ac:dyDescent="0.5">
      <c r="B145" s="34"/>
      <c r="C145" s="34"/>
      <c r="D145" s="19"/>
      <c r="E145" s="302"/>
      <c r="F145" s="302"/>
      <c r="G145" s="35"/>
      <c r="H145" s="36"/>
      <c r="I145" s="35"/>
      <c r="J145" s="79"/>
      <c r="K145" s="19"/>
    </row>
    <row r="146" spans="2:11" x14ac:dyDescent="0.5">
      <c r="B146" s="34"/>
      <c r="C146" s="34"/>
      <c r="D146" s="19"/>
      <c r="E146" s="302"/>
      <c r="F146" s="302"/>
      <c r="G146" s="35"/>
      <c r="H146" s="36"/>
      <c r="I146" s="35"/>
      <c r="J146" s="79"/>
      <c r="K146" s="19"/>
    </row>
    <row r="147" spans="2:11" x14ac:dyDescent="0.5">
      <c r="B147" s="34"/>
      <c r="C147" s="34"/>
      <c r="D147" s="19"/>
      <c r="E147" s="302"/>
      <c r="F147" s="302"/>
      <c r="G147" s="35"/>
      <c r="H147" s="36"/>
      <c r="I147" s="35"/>
      <c r="J147" s="79"/>
      <c r="K147" s="19"/>
    </row>
    <row r="148" spans="2:11" x14ac:dyDescent="0.5">
      <c r="B148" s="34"/>
      <c r="C148" s="34"/>
      <c r="D148" s="19"/>
      <c r="E148" s="302"/>
      <c r="F148" s="302"/>
      <c r="G148" s="35"/>
      <c r="H148" s="36"/>
      <c r="I148" s="35"/>
      <c r="J148" s="79"/>
      <c r="K148" s="19"/>
    </row>
    <row r="149" spans="2:11" x14ac:dyDescent="0.5">
      <c r="B149" s="34"/>
      <c r="C149" s="34"/>
      <c r="D149" s="19"/>
      <c r="E149" s="302"/>
      <c r="F149" s="302"/>
      <c r="G149" s="35"/>
      <c r="H149" s="36"/>
      <c r="I149" s="35"/>
      <c r="J149" s="79"/>
      <c r="K149" s="19"/>
    </row>
    <row r="150" spans="2:11" x14ac:dyDescent="0.5">
      <c r="B150" s="34"/>
      <c r="C150" s="34"/>
      <c r="D150" s="19"/>
      <c r="E150" s="302"/>
      <c r="F150" s="302"/>
      <c r="G150" s="35"/>
      <c r="H150" s="36"/>
      <c r="I150" s="35"/>
      <c r="J150" s="79"/>
      <c r="K150" s="19"/>
    </row>
    <row r="151" spans="2:11" x14ac:dyDescent="0.5">
      <c r="B151" s="34"/>
      <c r="C151" s="34"/>
      <c r="D151" s="19"/>
      <c r="E151" s="302"/>
      <c r="F151" s="302"/>
      <c r="G151" s="35"/>
      <c r="H151" s="36"/>
      <c r="I151" s="35"/>
      <c r="J151" s="79"/>
      <c r="K151" s="19"/>
    </row>
    <row r="152" spans="2:11" x14ac:dyDescent="0.5">
      <c r="B152" s="34"/>
      <c r="C152" s="34"/>
      <c r="D152" s="19"/>
      <c r="E152" s="302"/>
      <c r="F152" s="302"/>
      <c r="G152" s="35"/>
      <c r="H152" s="36"/>
      <c r="I152" s="35"/>
      <c r="J152" s="79"/>
      <c r="K152" s="19"/>
    </row>
    <row r="153" spans="2:11" x14ac:dyDescent="0.5">
      <c r="B153" s="34"/>
      <c r="C153" s="34"/>
      <c r="D153" s="19"/>
      <c r="E153" s="302"/>
      <c r="F153" s="302"/>
      <c r="G153" s="35"/>
      <c r="H153" s="36"/>
      <c r="I153" s="35"/>
      <c r="J153" s="79"/>
      <c r="K153" s="19"/>
    </row>
    <row r="154" spans="2:11" x14ac:dyDescent="0.5">
      <c r="B154" s="34"/>
      <c r="C154" s="34"/>
      <c r="D154" s="19"/>
      <c r="E154" s="302"/>
      <c r="F154" s="302"/>
      <c r="G154" s="35"/>
      <c r="H154" s="36"/>
      <c r="I154" s="35"/>
      <c r="J154" s="79"/>
      <c r="K154" s="19"/>
    </row>
    <row r="155" spans="2:11" x14ac:dyDescent="0.5">
      <c r="B155" s="34"/>
      <c r="C155" s="34"/>
      <c r="D155" s="19"/>
      <c r="E155" s="302"/>
      <c r="F155" s="302"/>
      <c r="G155" s="35"/>
      <c r="H155" s="36"/>
      <c r="I155" s="35"/>
      <c r="J155" s="79"/>
      <c r="K155" s="19"/>
    </row>
    <row r="156" spans="2:11" x14ac:dyDescent="0.5">
      <c r="B156" s="34"/>
      <c r="C156" s="34"/>
      <c r="D156" s="19"/>
      <c r="E156" s="302"/>
      <c r="F156" s="302"/>
      <c r="G156" s="35"/>
      <c r="H156" s="36"/>
      <c r="I156" s="35"/>
      <c r="J156" s="79"/>
      <c r="K156" s="19"/>
    </row>
    <row r="157" spans="2:11" x14ac:dyDescent="0.5">
      <c r="B157" s="34"/>
      <c r="C157" s="34"/>
      <c r="D157" s="19"/>
      <c r="E157" s="302"/>
      <c r="F157" s="302"/>
      <c r="G157" s="35"/>
      <c r="H157" s="36"/>
      <c r="I157" s="35"/>
      <c r="J157" s="79"/>
      <c r="K157" s="19"/>
    </row>
    <row r="158" spans="2:11" x14ac:dyDescent="0.5">
      <c r="B158" s="34"/>
      <c r="C158" s="34"/>
      <c r="D158" s="19"/>
      <c r="E158" s="302"/>
      <c r="F158" s="302"/>
      <c r="G158" s="35"/>
      <c r="H158" s="36"/>
      <c r="I158" s="35"/>
      <c r="J158" s="79"/>
      <c r="K158" s="19"/>
    </row>
    <row r="159" spans="2:11" x14ac:dyDescent="0.5">
      <c r="B159" s="34"/>
      <c r="C159" s="34"/>
      <c r="D159" s="19"/>
      <c r="E159" s="302"/>
      <c r="F159" s="302"/>
      <c r="G159" s="35"/>
      <c r="H159" s="36"/>
      <c r="I159" s="35"/>
      <c r="J159" s="79"/>
      <c r="K159" s="19"/>
    </row>
    <row r="160" spans="2:11" x14ac:dyDescent="0.5">
      <c r="B160" s="34"/>
      <c r="C160" s="34"/>
      <c r="D160" s="19"/>
      <c r="E160" s="302"/>
      <c r="F160" s="302"/>
      <c r="G160" s="35"/>
      <c r="H160" s="36"/>
      <c r="I160" s="35"/>
      <c r="J160" s="79"/>
      <c r="K160" s="19"/>
    </row>
    <row r="161" spans="2:11" x14ac:dyDescent="0.5">
      <c r="B161" s="34"/>
      <c r="C161" s="34"/>
      <c r="D161" s="19"/>
      <c r="E161" s="302"/>
      <c r="F161" s="302"/>
      <c r="G161" s="35"/>
      <c r="H161" s="36"/>
      <c r="I161" s="35"/>
      <c r="J161" s="79"/>
      <c r="K161" s="19"/>
    </row>
    <row r="162" spans="2:11" x14ac:dyDescent="0.5">
      <c r="B162" s="34"/>
      <c r="C162" s="34"/>
      <c r="D162" s="19"/>
      <c r="E162" s="302"/>
      <c r="F162" s="302"/>
      <c r="G162" s="35"/>
      <c r="H162" s="36"/>
      <c r="I162" s="35"/>
      <c r="J162" s="79"/>
      <c r="K162" s="19"/>
    </row>
    <row r="163" spans="2:11" x14ac:dyDescent="0.5">
      <c r="B163" s="34"/>
      <c r="C163" s="34"/>
      <c r="D163" s="19"/>
      <c r="E163" s="302"/>
      <c r="F163" s="302"/>
      <c r="G163" s="35"/>
      <c r="H163" s="36"/>
      <c r="I163" s="35"/>
      <c r="J163" s="79"/>
      <c r="K163" s="19"/>
    </row>
    <row r="164" spans="2:11" x14ac:dyDescent="0.5">
      <c r="B164" s="34"/>
      <c r="C164" s="34"/>
      <c r="D164" s="19"/>
      <c r="E164" s="302"/>
      <c r="F164" s="302"/>
      <c r="G164" s="35"/>
      <c r="H164" s="36"/>
      <c r="I164" s="35"/>
      <c r="J164" s="79"/>
      <c r="K164" s="19"/>
    </row>
    <row r="165" spans="2:11" x14ac:dyDescent="0.5">
      <c r="B165" s="34"/>
      <c r="C165" s="34"/>
      <c r="D165" s="19"/>
      <c r="E165" s="302"/>
      <c r="F165" s="302"/>
      <c r="G165" s="35"/>
      <c r="H165" s="36"/>
      <c r="I165" s="35"/>
      <c r="J165" s="79"/>
      <c r="K165" s="19"/>
    </row>
    <row r="166" spans="2:11" x14ac:dyDescent="0.5">
      <c r="B166" s="34"/>
      <c r="C166" s="34"/>
      <c r="D166" s="19"/>
      <c r="E166" s="302"/>
      <c r="F166" s="302"/>
      <c r="G166" s="35"/>
      <c r="H166" s="36"/>
      <c r="I166" s="35"/>
      <c r="J166" s="79"/>
      <c r="K166" s="19"/>
    </row>
    <row r="167" spans="2:11" x14ac:dyDescent="0.5">
      <c r="B167" s="34"/>
      <c r="C167" s="34"/>
      <c r="D167" s="19"/>
      <c r="E167" s="302"/>
      <c r="F167" s="302"/>
      <c r="G167" s="35"/>
      <c r="H167" s="36"/>
      <c r="I167" s="35"/>
      <c r="J167" s="79"/>
      <c r="K167" s="19"/>
    </row>
    <row r="168" spans="2:11" x14ac:dyDescent="0.5">
      <c r="B168" s="34"/>
      <c r="C168" s="34"/>
      <c r="D168" s="19"/>
      <c r="E168" s="302"/>
      <c r="F168" s="302"/>
      <c r="G168" s="35"/>
      <c r="H168" s="36"/>
      <c r="I168" s="35"/>
      <c r="J168" s="79"/>
      <c r="K168" s="19"/>
    </row>
    <row r="169" spans="2:11" x14ac:dyDescent="0.5">
      <c r="B169" s="34"/>
      <c r="C169" s="34"/>
      <c r="D169" s="19"/>
      <c r="E169" s="302"/>
      <c r="F169" s="302"/>
      <c r="G169" s="35"/>
      <c r="H169" s="36"/>
      <c r="I169" s="35"/>
      <c r="J169" s="79"/>
      <c r="K169" s="19"/>
    </row>
    <row r="170" spans="2:11" x14ac:dyDescent="0.5">
      <c r="B170" s="34"/>
      <c r="C170" s="34"/>
      <c r="D170" s="19"/>
      <c r="E170" s="302"/>
      <c r="F170" s="302"/>
      <c r="G170" s="35"/>
      <c r="H170" s="36"/>
      <c r="I170" s="35"/>
      <c r="J170" s="79"/>
      <c r="K170" s="19"/>
    </row>
    <row r="171" spans="2:11" x14ac:dyDescent="0.5">
      <c r="B171" s="34"/>
      <c r="C171" s="34"/>
      <c r="D171" s="19"/>
      <c r="E171" s="302"/>
      <c r="F171" s="302"/>
      <c r="G171" s="35"/>
      <c r="H171" s="36"/>
      <c r="I171" s="35"/>
      <c r="J171" s="79"/>
      <c r="K171" s="19"/>
    </row>
    <row r="172" spans="2:11" x14ac:dyDescent="0.5">
      <c r="B172" s="34"/>
      <c r="C172" s="34"/>
      <c r="D172" s="19"/>
      <c r="E172" s="302"/>
      <c r="F172" s="302"/>
      <c r="G172" s="35"/>
      <c r="H172" s="36"/>
      <c r="I172" s="35"/>
      <c r="J172" s="79"/>
      <c r="K172" s="19"/>
    </row>
    <row r="173" spans="2:11" x14ac:dyDescent="0.5">
      <c r="B173" s="34"/>
      <c r="C173" s="34"/>
      <c r="D173" s="19"/>
      <c r="E173" s="302"/>
      <c r="F173" s="302"/>
      <c r="G173" s="35"/>
      <c r="H173" s="36"/>
      <c r="I173" s="35"/>
      <c r="J173" s="79"/>
      <c r="K173" s="19"/>
    </row>
    <row r="174" spans="2:11" x14ac:dyDescent="0.5">
      <c r="B174" s="34"/>
      <c r="C174" s="34"/>
      <c r="D174" s="19"/>
      <c r="E174" s="302"/>
      <c r="F174" s="302"/>
      <c r="G174" s="35"/>
      <c r="H174" s="36"/>
      <c r="I174" s="35"/>
      <c r="J174" s="79"/>
      <c r="K174" s="19"/>
    </row>
    <row r="175" spans="2:11" x14ac:dyDescent="0.5">
      <c r="B175" s="34"/>
      <c r="C175" s="34"/>
      <c r="D175" s="19"/>
      <c r="E175" s="302"/>
      <c r="F175" s="302"/>
      <c r="G175" s="35"/>
      <c r="H175" s="36"/>
      <c r="I175" s="35"/>
      <c r="J175" s="79"/>
      <c r="K175" s="19"/>
    </row>
    <row r="176" spans="2:11" x14ac:dyDescent="0.5">
      <c r="B176" s="34"/>
      <c r="C176" s="34"/>
      <c r="D176" s="19"/>
      <c r="E176" s="302"/>
      <c r="F176" s="302"/>
      <c r="G176" s="35"/>
      <c r="H176" s="36"/>
      <c r="I176" s="35"/>
      <c r="J176" s="79"/>
      <c r="K176" s="19"/>
    </row>
    <row r="177" spans="2:11" x14ac:dyDescent="0.5">
      <c r="B177" s="34"/>
      <c r="C177" s="34"/>
      <c r="D177" s="19"/>
      <c r="E177" s="302"/>
      <c r="F177" s="302"/>
      <c r="G177" s="35"/>
      <c r="H177" s="36"/>
      <c r="I177" s="35"/>
      <c r="J177" s="79"/>
      <c r="K177" s="19"/>
    </row>
    <row r="178" spans="2:11" x14ac:dyDescent="0.5">
      <c r="B178" s="34"/>
      <c r="C178" s="34"/>
      <c r="D178" s="19"/>
      <c r="E178" s="302"/>
      <c r="F178" s="302"/>
      <c r="G178" s="35"/>
      <c r="H178" s="36"/>
      <c r="I178" s="35"/>
      <c r="J178" s="79"/>
      <c r="K178" s="19"/>
    </row>
    <row r="179" spans="2:11" x14ac:dyDescent="0.5">
      <c r="B179" s="34"/>
      <c r="C179" s="34"/>
      <c r="D179" s="19"/>
      <c r="E179" s="302"/>
      <c r="F179" s="302"/>
      <c r="G179" s="35"/>
      <c r="H179" s="36"/>
      <c r="I179" s="35"/>
      <c r="J179" s="79"/>
      <c r="K179" s="19"/>
    </row>
    <row r="180" spans="2:11" x14ac:dyDescent="0.5">
      <c r="B180" s="34"/>
      <c r="C180" s="34"/>
      <c r="D180" s="19"/>
      <c r="E180" s="302"/>
      <c r="F180" s="302"/>
      <c r="G180" s="35"/>
      <c r="H180" s="36"/>
      <c r="I180" s="35"/>
      <c r="J180" s="79"/>
      <c r="K180" s="19"/>
    </row>
    <row r="181" spans="2:11" x14ac:dyDescent="0.5">
      <c r="B181" s="34"/>
      <c r="C181" s="34"/>
      <c r="D181" s="19"/>
      <c r="E181" s="302"/>
      <c r="F181" s="302"/>
      <c r="G181" s="35"/>
      <c r="H181" s="36"/>
      <c r="I181" s="35"/>
      <c r="J181" s="79"/>
      <c r="K181" s="19"/>
    </row>
    <row r="182" spans="2:11" x14ac:dyDescent="0.5">
      <c r="B182" s="34"/>
      <c r="C182" s="34"/>
      <c r="D182" s="19"/>
      <c r="E182" s="302"/>
      <c r="F182" s="302"/>
      <c r="G182" s="35"/>
      <c r="H182" s="36"/>
      <c r="I182" s="35"/>
      <c r="J182" s="79"/>
      <c r="K182" s="19"/>
    </row>
    <row r="183" spans="2:11" x14ac:dyDescent="0.5">
      <c r="B183" s="34"/>
      <c r="C183" s="34"/>
      <c r="D183" s="19"/>
      <c r="E183" s="302"/>
      <c r="F183" s="302"/>
      <c r="G183" s="35"/>
      <c r="H183" s="36"/>
      <c r="I183" s="35"/>
      <c r="J183" s="79"/>
      <c r="K183" s="19"/>
    </row>
    <row r="184" spans="2:11" x14ac:dyDescent="0.5">
      <c r="B184" s="37"/>
      <c r="C184" s="37"/>
      <c r="D184" s="38"/>
      <c r="E184" s="306"/>
      <c r="F184" s="306"/>
      <c r="G184" s="39"/>
      <c r="H184" s="40"/>
      <c r="I184" s="39"/>
      <c r="K184" s="19"/>
    </row>
    <row r="185" spans="2:11" x14ac:dyDescent="0.5">
      <c r="E185" s="307"/>
      <c r="F185" s="307"/>
    </row>
    <row r="186" spans="2:11" x14ac:dyDescent="0.5">
      <c r="E186" s="307"/>
      <c r="F186" s="307"/>
    </row>
    <row r="187" spans="2:11" x14ac:dyDescent="0.5">
      <c r="E187" s="307"/>
      <c r="F187" s="307"/>
    </row>
    <row r="188" spans="2:11" x14ac:dyDescent="0.5">
      <c r="E188" s="307"/>
      <c r="F188" s="307"/>
    </row>
    <row r="189" spans="2:11" x14ac:dyDescent="0.5">
      <c r="E189" s="307"/>
      <c r="F189" s="307"/>
    </row>
    <row r="190" spans="2:11" x14ac:dyDescent="0.5">
      <c r="E190" s="307"/>
      <c r="F190" s="307"/>
    </row>
    <row r="191" spans="2:11" x14ac:dyDescent="0.5">
      <c r="E191" s="307"/>
      <c r="F191" s="307"/>
    </row>
    <row r="192" spans="2:11" x14ac:dyDescent="0.5">
      <c r="E192" s="307"/>
      <c r="F192" s="307"/>
    </row>
    <row r="193" spans="5:6" x14ac:dyDescent="0.5">
      <c r="E193" s="307"/>
      <c r="F193" s="307"/>
    </row>
    <row r="194" spans="5:6" x14ac:dyDescent="0.5">
      <c r="E194" s="307"/>
      <c r="F194" s="307"/>
    </row>
    <row r="195" spans="5:6" x14ac:dyDescent="0.5">
      <c r="E195" s="307"/>
      <c r="F195" s="307"/>
    </row>
    <row r="196" spans="5:6" x14ac:dyDescent="0.5">
      <c r="E196" s="307"/>
      <c r="F196" s="307"/>
    </row>
    <row r="197" spans="5:6" x14ac:dyDescent="0.5">
      <c r="E197" s="307"/>
      <c r="F197" s="307"/>
    </row>
    <row r="198" spans="5:6" x14ac:dyDescent="0.5">
      <c r="E198" s="307"/>
      <c r="F198" s="307"/>
    </row>
    <row r="199" spans="5:6" x14ac:dyDescent="0.5">
      <c r="E199" s="307"/>
      <c r="F199" s="307"/>
    </row>
    <row r="200" spans="5:6" x14ac:dyDescent="0.5">
      <c r="E200" s="307"/>
      <c r="F200" s="307"/>
    </row>
    <row r="201" spans="5:6" x14ac:dyDescent="0.5">
      <c r="E201" s="307"/>
      <c r="F201" s="307"/>
    </row>
    <row r="202" spans="5:6" x14ac:dyDescent="0.5">
      <c r="E202" s="307"/>
      <c r="F202" s="307"/>
    </row>
    <row r="203" spans="5:6" x14ac:dyDescent="0.5">
      <c r="E203" s="307"/>
      <c r="F203" s="307"/>
    </row>
    <row r="204" spans="5:6" x14ac:dyDescent="0.5">
      <c r="E204" s="307"/>
      <c r="F204" s="307"/>
    </row>
    <row r="205" spans="5:6" x14ac:dyDescent="0.5">
      <c r="E205" s="307"/>
      <c r="F205" s="307"/>
    </row>
    <row r="206" spans="5:6" x14ac:dyDescent="0.5">
      <c r="E206" s="307"/>
      <c r="F206" s="307"/>
    </row>
    <row r="207" spans="5:6" x14ac:dyDescent="0.5">
      <c r="E207" s="307"/>
      <c r="F207" s="307"/>
    </row>
    <row r="208" spans="5:6" x14ac:dyDescent="0.5">
      <c r="E208" s="307"/>
      <c r="F208" s="307"/>
    </row>
    <row r="209" spans="5:6" x14ac:dyDescent="0.5">
      <c r="E209" s="307"/>
      <c r="F209" s="307"/>
    </row>
    <row r="210" spans="5:6" x14ac:dyDescent="0.5">
      <c r="E210" s="307"/>
      <c r="F210" s="307"/>
    </row>
    <row r="211" spans="5:6" x14ac:dyDescent="0.5">
      <c r="E211" s="307"/>
      <c r="F211" s="307"/>
    </row>
    <row r="212" spans="5:6" x14ac:dyDescent="0.5">
      <c r="E212" s="307"/>
      <c r="F212" s="307"/>
    </row>
    <row r="213" spans="5:6" x14ac:dyDescent="0.5">
      <c r="E213" s="307"/>
      <c r="F213" s="307"/>
    </row>
    <row r="214" spans="5:6" x14ac:dyDescent="0.5">
      <c r="E214" s="307"/>
      <c r="F214" s="307"/>
    </row>
    <row r="215" spans="5:6" x14ac:dyDescent="0.5">
      <c r="E215" s="307"/>
      <c r="F215" s="307"/>
    </row>
    <row r="216" spans="5:6" x14ac:dyDescent="0.5">
      <c r="E216" s="307"/>
      <c r="F216" s="307"/>
    </row>
    <row r="217" spans="5:6" x14ac:dyDescent="0.5">
      <c r="E217" s="307"/>
      <c r="F217" s="307"/>
    </row>
    <row r="218" spans="5:6" x14ac:dyDescent="0.5">
      <c r="E218" s="307"/>
      <c r="F218" s="307"/>
    </row>
    <row r="219" spans="5:6" x14ac:dyDescent="0.5">
      <c r="E219" s="307"/>
      <c r="F219" s="307"/>
    </row>
    <row r="220" spans="5:6" x14ac:dyDescent="0.5">
      <c r="E220" s="307"/>
      <c r="F220" s="307"/>
    </row>
    <row r="221" spans="5:6" x14ac:dyDescent="0.5">
      <c r="E221" s="307"/>
      <c r="F221" s="307"/>
    </row>
    <row r="222" spans="5:6" x14ac:dyDescent="0.5">
      <c r="E222" s="307"/>
      <c r="F222" s="307"/>
    </row>
    <row r="223" spans="5:6" x14ac:dyDescent="0.5">
      <c r="E223" s="307"/>
      <c r="F223" s="307"/>
    </row>
    <row r="224" spans="5:6" x14ac:dyDescent="0.5">
      <c r="E224" s="307"/>
      <c r="F224" s="307"/>
    </row>
    <row r="225" spans="5:6" x14ac:dyDescent="0.5">
      <c r="E225" s="307"/>
      <c r="F225" s="307"/>
    </row>
    <row r="226" spans="5:6" x14ac:dyDescent="0.5">
      <c r="E226" s="307"/>
      <c r="F226" s="307"/>
    </row>
    <row r="227" spans="5:6" x14ac:dyDescent="0.5">
      <c r="E227" s="307"/>
      <c r="F227" s="307"/>
    </row>
    <row r="228" spans="5:6" x14ac:dyDescent="0.5">
      <c r="E228" s="307"/>
      <c r="F228" s="307"/>
    </row>
    <row r="229" spans="5:6" x14ac:dyDescent="0.5">
      <c r="E229" s="307"/>
      <c r="F229" s="307"/>
    </row>
    <row r="230" spans="5:6" x14ac:dyDescent="0.5">
      <c r="E230" s="307"/>
      <c r="F230" s="307"/>
    </row>
    <row r="231" spans="5:6" x14ac:dyDescent="0.5">
      <c r="E231" s="307"/>
      <c r="F231" s="307"/>
    </row>
    <row r="232" spans="5:6" x14ac:dyDescent="0.5">
      <c r="E232" s="307"/>
      <c r="F232" s="307"/>
    </row>
    <row r="233" spans="5:6" x14ac:dyDescent="0.5">
      <c r="E233" s="307"/>
      <c r="F233" s="307"/>
    </row>
    <row r="234" spans="5:6" x14ac:dyDescent="0.5">
      <c r="E234" s="307"/>
      <c r="F234" s="307"/>
    </row>
    <row r="235" spans="5:6" x14ac:dyDescent="0.5">
      <c r="E235" s="307"/>
      <c r="F235" s="307"/>
    </row>
    <row r="236" spans="5:6" x14ac:dyDescent="0.5">
      <c r="E236" s="307"/>
      <c r="F236" s="307"/>
    </row>
    <row r="237" spans="5:6" x14ac:dyDescent="0.5">
      <c r="E237" s="307"/>
      <c r="F237" s="307"/>
    </row>
    <row r="238" spans="5:6" x14ac:dyDescent="0.5">
      <c r="E238" s="307"/>
      <c r="F238" s="307"/>
    </row>
    <row r="239" spans="5:6" x14ac:dyDescent="0.5">
      <c r="E239" s="307"/>
      <c r="F239" s="307"/>
    </row>
    <row r="240" spans="5:6" x14ac:dyDescent="0.5">
      <c r="E240" s="307"/>
      <c r="F240" s="307"/>
    </row>
    <row r="241" spans="5:6" x14ac:dyDescent="0.5">
      <c r="E241" s="307"/>
      <c r="F241" s="307"/>
    </row>
    <row r="242" spans="5:6" x14ac:dyDescent="0.5">
      <c r="E242" s="307"/>
      <c r="F242" s="307"/>
    </row>
    <row r="243" spans="5:6" x14ac:dyDescent="0.5">
      <c r="E243" s="307"/>
      <c r="F243" s="307"/>
    </row>
    <row r="244" spans="5:6" x14ac:dyDescent="0.5">
      <c r="E244" s="307"/>
      <c r="F244" s="307"/>
    </row>
    <row r="245" spans="5:6" x14ac:dyDescent="0.5">
      <c r="E245" s="307"/>
      <c r="F245" s="307"/>
    </row>
    <row r="246" spans="5:6" x14ac:dyDescent="0.5">
      <c r="E246" s="307"/>
      <c r="F246" s="307"/>
    </row>
    <row r="247" spans="5:6" x14ac:dyDescent="0.5">
      <c r="E247" s="307"/>
      <c r="F247" s="307"/>
    </row>
    <row r="248" spans="5:6" x14ac:dyDescent="0.5">
      <c r="E248" s="307"/>
      <c r="F248" s="307"/>
    </row>
    <row r="249" spans="5:6" x14ac:dyDescent="0.5">
      <c r="E249" s="307"/>
      <c r="F249" s="307"/>
    </row>
    <row r="250" spans="5:6" x14ac:dyDescent="0.5">
      <c r="E250" s="307"/>
      <c r="F250" s="307"/>
    </row>
    <row r="251" spans="5:6" x14ac:dyDescent="0.5">
      <c r="E251" s="307"/>
      <c r="F251" s="307"/>
    </row>
    <row r="252" spans="5:6" x14ac:dyDescent="0.5">
      <c r="E252" s="307"/>
      <c r="F252" s="307"/>
    </row>
    <row r="253" spans="5:6" x14ac:dyDescent="0.5">
      <c r="E253" s="307"/>
      <c r="F253" s="307"/>
    </row>
    <row r="254" spans="5:6" x14ac:dyDescent="0.5">
      <c r="E254" s="307"/>
      <c r="F254" s="307"/>
    </row>
    <row r="255" spans="5:6" x14ac:dyDescent="0.5">
      <c r="E255" s="307"/>
      <c r="F255" s="307"/>
    </row>
    <row r="256" spans="5:6" x14ac:dyDescent="0.5">
      <c r="E256" s="307"/>
      <c r="F256" s="307"/>
    </row>
    <row r="257" spans="5:6" x14ac:dyDescent="0.5">
      <c r="E257" s="307"/>
      <c r="F257" s="307"/>
    </row>
    <row r="258" spans="5:6" x14ac:dyDescent="0.5">
      <c r="E258" s="307"/>
      <c r="F258" s="307"/>
    </row>
    <row r="259" spans="5:6" x14ac:dyDescent="0.5">
      <c r="E259" s="307"/>
      <c r="F259" s="307"/>
    </row>
    <row r="260" spans="5:6" x14ac:dyDescent="0.5">
      <c r="E260" s="307"/>
      <c r="F260" s="307"/>
    </row>
    <row r="261" spans="5:6" x14ac:dyDescent="0.5">
      <c r="E261" s="307"/>
      <c r="F261" s="307"/>
    </row>
    <row r="262" spans="5:6" x14ac:dyDescent="0.5">
      <c r="E262" s="307"/>
      <c r="F262" s="307"/>
    </row>
    <row r="263" spans="5:6" x14ac:dyDescent="0.5">
      <c r="E263" s="307"/>
      <c r="F263" s="307"/>
    </row>
    <row r="264" spans="5:6" x14ac:dyDescent="0.5">
      <c r="E264" s="307"/>
      <c r="F264" s="307"/>
    </row>
    <row r="265" spans="5:6" x14ac:dyDescent="0.5">
      <c r="E265" s="307"/>
      <c r="F265" s="307"/>
    </row>
    <row r="266" spans="5:6" x14ac:dyDescent="0.5">
      <c r="E266" s="307"/>
      <c r="F266" s="307"/>
    </row>
    <row r="267" spans="5:6" x14ac:dyDescent="0.5">
      <c r="E267" s="307"/>
      <c r="F267" s="307"/>
    </row>
    <row r="268" spans="5:6" x14ac:dyDescent="0.5">
      <c r="E268" s="307"/>
      <c r="F268" s="307"/>
    </row>
    <row r="269" spans="5:6" x14ac:dyDescent="0.5">
      <c r="E269" s="307"/>
      <c r="F269" s="307"/>
    </row>
    <row r="270" spans="5:6" x14ac:dyDescent="0.5">
      <c r="E270" s="307"/>
      <c r="F270" s="307"/>
    </row>
    <row r="271" spans="5:6" x14ac:dyDescent="0.5">
      <c r="E271" s="307"/>
      <c r="F271" s="307"/>
    </row>
    <row r="272" spans="5:6" x14ac:dyDescent="0.5">
      <c r="E272" s="307"/>
      <c r="F272" s="307"/>
    </row>
    <row r="273" spans="5:6" x14ac:dyDescent="0.5">
      <c r="E273" s="307"/>
      <c r="F273" s="307"/>
    </row>
    <row r="274" spans="5:6" x14ac:dyDescent="0.5">
      <c r="E274" s="307"/>
      <c r="F274" s="307"/>
    </row>
    <row r="275" spans="5:6" x14ac:dyDescent="0.5">
      <c r="E275" s="307"/>
      <c r="F275" s="307"/>
    </row>
    <row r="276" spans="5:6" x14ac:dyDescent="0.5">
      <c r="E276" s="307"/>
      <c r="F276" s="307"/>
    </row>
    <row r="277" spans="5:6" x14ac:dyDescent="0.5">
      <c r="E277" s="307"/>
      <c r="F277" s="307"/>
    </row>
    <row r="278" spans="5:6" x14ac:dyDescent="0.5">
      <c r="E278" s="307"/>
      <c r="F278" s="307"/>
    </row>
    <row r="279" spans="5:6" x14ac:dyDescent="0.5">
      <c r="E279" s="307"/>
      <c r="F279" s="307"/>
    </row>
    <row r="280" spans="5:6" x14ac:dyDescent="0.5">
      <c r="E280" s="307"/>
      <c r="F280" s="307"/>
    </row>
    <row r="281" spans="5:6" x14ac:dyDescent="0.5">
      <c r="E281" s="307"/>
      <c r="F281" s="307"/>
    </row>
    <row r="282" spans="5:6" x14ac:dyDescent="0.5">
      <c r="E282" s="307"/>
      <c r="F282" s="307"/>
    </row>
    <row r="283" spans="5:6" x14ac:dyDescent="0.5">
      <c r="E283" s="307"/>
      <c r="F283" s="307"/>
    </row>
    <row r="284" spans="5:6" x14ac:dyDescent="0.5">
      <c r="E284" s="307"/>
      <c r="F284" s="307"/>
    </row>
    <row r="285" spans="5:6" x14ac:dyDescent="0.5">
      <c r="E285" s="307"/>
      <c r="F285" s="307"/>
    </row>
    <row r="286" spans="5:6" x14ac:dyDescent="0.5">
      <c r="E286" s="307"/>
      <c r="F286" s="307"/>
    </row>
    <row r="287" spans="5:6" x14ac:dyDescent="0.5">
      <c r="E287" s="307"/>
      <c r="F287" s="307"/>
    </row>
    <row r="288" spans="5:6" x14ac:dyDescent="0.5">
      <c r="E288" s="307"/>
      <c r="F288" s="307"/>
    </row>
    <row r="289" spans="5:6" x14ac:dyDescent="0.5">
      <c r="E289" s="307"/>
      <c r="F289" s="307"/>
    </row>
    <row r="290" spans="5:6" x14ac:dyDescent="0.5">
      <c r="E290" s="307"/>
      <c r="F290" s="307"/>
    </row>
    <row r="291" spans="5:6" x14ac:dyDescent="0.5">
      <c r="E291" s="307"/>
      <c r="F291" s="307"/>
    </row>
    <row r="292" spans="5:6" x14ac:dyDescent="0.5">
      <c r="E292" s="307"/>
      <c r="F292" s="307"/>
    </row>
    <row r="293" spans="5:6" x14ac:dyDescent="0.5">
      <c r="E293" s="307"/>
      <c r="F293" s="307"/>
    </row>
    <row r="294" spans="5:6" x14ac:dyDescent="0.5">
      <c r="E294" s="307"/>
      <c r="F294" s="307"/>
    </row>
    <row r="295" spans="5:6" x14ac:dyDescent="0.5">
      <c r="E295" s="307"/>
      <c r="F295" s="307"/>
    </row>
    <row r="296" spans="5:6" x14ac:dyDescent="0.5">
      <c r="E296" s="307"/>
      <c r="F296" s="307"/>
    </row>
    <row r="297" spans="5:6" x14ac:dyDescent="0.5">
      <c r="E297" s="307"/>
      <c r="F297" s="307"/>
    </row>
    <row r="298" spans="5:6" x14ac:dyDescent="0.5">
      <c r="E298" s="307"/>
      <c r="F298" s="307"/>
    </row>
    <row r="299" spans="5:6" x14ac:dyDescent="0.5">
      <c r="E299" s="307"/>
      <c r="F299" s="307"/>
    </row>
    <row r="300" spans="5:6" x14ac:dyDescent="0.5">
      <c r="E300" s="307"/>
      <c r="F300" s="307"/>
    </row>
    <row r="301" spans="5:6" x14ac:dyDescent="0.5">
      <c r="E301" s="307"/>
      <c r="F301" s="307"/>
    </row>
    <row r="302" spans="5:6" x14ac:dyDescent="0.5">
      <c r="E302" s="307"/>
      <c r="F302" s="307"/>
    </row>
    <row r="303" spans="5:6" x14ac:dyDescent="0.5">
      <c r="E303" s="307"/>
      <c r="F303" s="307"/>
    </row>
    <row r="304" spans="5:6" x14ac:dyDescent="0.5">
      <c r="E304" s="307"/>
      <c r="F304" s="307"/>
    </row>
    <row r="305" spans="5:6" x14ac:dyDescent="0.5">
      <c r="E305" s="307"/>
      <c r="F305" s="307"/>
    </row>
    <row r="306" spans="5:6" x14ac:dyDescent="0.5">
      <c r="E306" s="308"/>
      <c r="F306" s="308"/>
    </row>
    <row r="307" spans="5:6" x14ac:dyDescent="0.5">
      <c r="E307" s="308"/>
      <c r="F307" s="308"/>
    </row>
    <row r="308" spans="5:6" x14ac:dyDescent="0.5">
      <c r="E308" s="308"/>
      <c r="F308" s="308"/>
    </row>
    <row r="309" spans="5:6" x14ac:dyDescent="0.5">
      <c r="E309" s="308"/>
      <c r="F309" s="308"/>
    </row>
    <row r="310" spans="5:6" x14ac:dyDescent="0.5">
      <c r="E310" s="308"/>
      <c r="F310" s="308"/>
    </row>
    <row r="311" spans="5:6" x14ac:dyDescent="0.5">
      <c r="E311" s="308"/>
      <c r="F311" s="308"/>
    </row>
    <row r="312" spans="5:6" x14ac:dyDescent="0.5">
      <c r="E312" s="308"/>
      <c r="F312" s="308"/>
    </row>
    <row r="313" spans="5:6" x14ac:dyDescent="0.5">
      <c r="E313" s="308"/>
      <c r="F313" s="308"/>
    </row>
  </sheetData>
  <mergeCells count="317">
    <mergeCell ref="E29:F29"/>
    <mergeCell ref="B3:C3"/>
    <mergeCell ref="E3:F3"/>
    <mergeCell ref="E19:F19"/>
    <mergeCell ref="G2:H2"/>
    <mergeCell ref="I2:J2"/>
    <mergeCell ref="E17:F17"/>
    <mergeCell ref="E16:F16"/>
    <mergeCell ref="B2:C2"/>
    <mergeCell ref="E2:F2"/>
    <mergeCell ref="E15:F15"/>
    <mergeCell ref="E18:F18"/>
    <mergeCell ref="E14:F14"/>
    <mergeCell ref="E25:F25"/>
    <mergeCell ref="E26:F26"/>
    <mergeCell ref="E27:F27"/>
    <mergeCell ref="E28:F28"/>
    <mergeCell ref="E20:F20"/>
    <mergeCell ref="E21:F21"/>
    <mergeCell ref="E22:F22"/>
    <mergeCell ref="E23:F23"/>
    <mergeCell ref="E24:F24"/>
    <mergeCell ref="E310:F310"/>
    <mergeCell ref="E311:F311"/>
    <mergeCell ref="E312:F312"/>
    <mergeCell ref="E313:F313"/>
    <mergeCell ref="E305:F305"/>
    <mergeCell ref="E306:F306"/>
    <mergeCell ref="E307:F307"/>
    <mergeCell ref="E308:F308"/>
    <mergeCell ref="E309:F309"/>
    <mergeCell ref="E300:F300"/>
    <mergeCell ref="E301:F301"/>
    <mergeCell ref="E302:F302"/>
    <mergeCell ref="E303:F303"/>
    <mergeCell ref="E304:F304"/>
    <mergeCell ref="E295:F295"/>
    <mergeCell ref="E296:F296"/>
    <mergeCell ref="E297:F297"/>
    <mergeCell ref="E298:F298"/>
    <mergeCell ref="E299:F299"/>
    <mergeCell ref="E290:F290"/>
    <mergeCell ref="E291:F291"/>
    <mergeCell ref="E292:F292"/>
    <mergeCell ref="E293:F293"/>
    <mergeCell ref="E294:F294"/>
    <mergeCell ref="E285:F285"/>
    <mergeCell ref="E286:F286"/>
    <mergeCell ref="E287:F287"/>
    <mergeCell ref="E288:F288"/>
    <mergeCell ref="E289:F289"/>
    <mergeCell ref="E280:F280"/>
    <mergeCell ref="E281:F281"/>
    <mergeCell ref="E282:F282"/>
    <mergeCell ref="E283:F283"/>
    <mergeCell ref="E284:F284"/>
    <mergeCell ref="E275:F275"/>
    <mergeCell ref="E276:F276"/>
    <mergeCell ref="E277:F277"/>
    <mergeCell ref="E278:F278"/>
    <mergeCell ref="E279:F279"/>
    <mergeCell ref="E270:F270"/>
    <mergeCell ref="E271:F271"/>
    <mergeCell ref="E272:F272"/>
    <mergeCell ref="E273:F273"/>
    <mergeCell ref="E274:F274"/>
    <mergeCell ref="E265:F265"/>
    <mergeCell ref="E266:F266"/>
    <mergeCell ref="E267:F267"/>
    <mergeCell ref="E268:F268"/>
    <mergeCell ref="E269:F269"/>
    <mergeCell ref="E260:F260"/>
    <mergeCell ref="E261:F261"/>
    <mergeCell ref="E262:F262"/>
    <mergeCell ref="E263:F263"/>
    <mergeCell ref="E264:F264"/>
    <mergeCell ref="E255:F255"/>
    <mergeCell ref="E256:F256"/>
    <mergeCell ref="E257:F257"/>
    <mergeCell ref="E258:F258"/>
    <mergeCell ref="E259:F259"/>
    <mergeCell ref="E250:F250"/>
    <mergeCell ref="E251:F251"/>
    <mergeCell ref="E252:F252"/>
    <mergeCell ref="E253:F253"/>
    <mergeCell ref="E254:F254"/>
    <mergeCell ref="E245:F245"/>
    <mergeCell ref="E246:F246"/>
    <mergeCell ref="E247:F247"/>
    <mergeCell ref="E248:F248"/>
    <mergeCell ref="E249:F249"/>
    <mergeCell ref="E240:F240"/>
    <mergeCell ref="E241:F241"/>
    <mergeCell ref="E242:F242"/>
    <mergeCell ref="E243:F243"/>
    <mergeCell ref="E244:F244"/>
    <mergeCell ref="E235:F235"/>
    <mergeCell ref="E236:F236"/>
    <mergeCell ref="E237:F237"/>
    <mergeCell ref="E238:F238"/>
    <mergeCell ref="E239:F239"/>
    <mergeCell ref="E230:F230"/>
    <mergeCell ref="E231:F231"/>
    <mergeCell ref="E232:F232"/>
    <mergeCell ref="E233:F233"/>
    <mergeCell ref="E234:F234"/>
    <mergeCell ref="E225:F225"/>
    <mergeCell ref="E226:F226"/>
    <mergeCell ref="E227:F227"/>
    <mergeCell ref="E228:F228"/>
    <mergeCell ref="E229:F229"/>
    <mergeCell ref="E220:F220"/>
    <mergeCell ref="E221:F221"/>
    <mergeCell ref="E222:F222"/>
    <mergeCell ref="E223:F223"/>
    <mergeCell ref="E224:F224"/>
    <mergeCell ref="E215:F215"/>
    <mergeCell ref="E216:F216"/>
    <mergeCell ref="E217:F217"/>
    <mergeCell ref="E218:F218"/>
    <mergeCell ref="E219:F219"/>
    <mergeCell ref="E210:F210"/>
    <mergeCell ref="E211:F211"/>
    <mergeCell ref="E212:F212"/>
    <mergeCell ref="E213:F213"/>
    <mergeCell ref="E214:F214"/>
    <mergeCell ref="E205:F205"/>
    <mergeCell ref="E206:F206"/>
    <mergeCell ref="E207:F207"/>
    <mergeCell ref="E208:F208"/>
    <mergeCell ref="E209:F209"/>
    <mergeCell ref="E200:F200"/>
    <mergeCell ref="E201:F201"/>
    <mergeCell ref="E202:F202"/>
    <mergeCell ref="E203:F203"/>
    <mergeCell ref="E204:F204"/>
    <mergeCell ref="E195:F195"/>
    <mergeCell ref="E196:F196"/>
    <mergeCell ref="E197:F197"/>
    <mergeCell ref="E198:F198"/>
    <mergeCell ref="E199:F199"/>
    <mergeCell ref="E190:F190"/>
    <mergeCell ref="E191:F191"/>
    <mergeCell ref="E192:F192"/>
    <mergeCell ref="E193:F193"/>
    <mergeCell ref="E194:F194"/>
    <mergeCell ref="E185:F185"/>
    <mergeCell ref="E186:F186"/>
    <mergeCell ref="E187:F187"/>
    <mergeCell ref="E188:F188"/>
    <mergeCell ref="E189:F189"/>
    <mergeCell ref="E180:F180"/>
    <mergeCell ref="E181:F181"/>
    <mergeCell ref="E182:F182"/>
    <mergeCell ref="E183:F183"/>
    <mergeCell ref="E184:F184"/>
    <mergeCell ref="E175:F175"/>
    <mergeCell ref="E176:F176"/>
    <mergeCell ref="E177:F177"/>
    <mergeCell ref="E178:F178"/>
    <mergeCell ref="E179:F179"/>
    <mergeCell ref="E170:F170"/>
    <mergeCell ref="E171:F171"/>
    <mergeCell ref="E172:F172"/>
    <mergeCell ref="E173:F173"/>
    <mergeCell ref="E174:F174"/>
    <mergeCell ref="E165:F165"/>
    <mergeCell ref="E166:F166"/>
    <mergeCell ref="E167:F167"/>
    <mergeCell ref="E168:F168"/>
    <mergeCell ref="E169:F169"/>
    <mergeCell ref="E160:F160"/>
    <mergeCell ref="E161:F161"/>
    <mergeCell ref="E162:F162"/>
    <mergeCell ref="E163:F163"/>
    <mergeCell ref="E164:F164"/>
    <mergeCell ref="E155:F155"/>
    <mergeCell ref="E156:F156"/>
    <mergeCell ref="E157:F157"/>
    <mergeCell ref="E158:F158"/>
    <mergeCell ref="E159:F159"/>
    <mergeCell ref="E150:F150"/>
    <mergeCell ref="E151:F151"/>
    <mergeCell ref="E152:F152"/>
    <mergeCell ref="E153:F153"/>
    <mergeCell ref="E154:F154"/>
    <mergeCell ref="E145:F145"/>
    <mergeCell ref="E146:F146"/>
    <mergeCell ref="E147:F147"/>
    <mergeCell ref="E148:F148"/>
    <mergeCell ref="E149:F149"/>
    <mergeCell ref="E140:F140"/>
    <mergeCell ref="E141:F141"/>
    <mergeCell ref="E142:F142"/>
    <mergeCell ref="E143:F143"/>
    <mergeCell ref="E144:F144"/>
    <mergeCell ref="E135:F135"/>
    <mergeCell ref="E136:F136"/>
    <mergeCell ref="E137:F137"/>
    <mergeCell ref="E138:F138"/>
    <mergeCell ref="E139:F139"/>
    <mergeCell ref="E130:F130"/>
    <mergeCell ref="E131:F131"/>
    <mergeCell ref="E132:F132"/>
    <mergeCell ref="E133:F133"/>
    <mergeCell ref="E134:F134"/>
    <mergeCell ref="E125:F125"/>
    <mergeCell ref="E126:F126"/>
    <mergeCell ref="E127:F127"/>
    <mergeCell ref="E128:F128"/>
    <mergeCell ref="E129:F129"/>
    <mergeCell ref="E120:F120"/>
    <mergeCell ref="E121:F121"/>
    <mergeCell ref="E122:F122"/>
    <mergeCell ref="E123:F123"/>
    <mergeCell ref="E124:F124"/>
    <mergeCell ref="E115:F115"/>
    <mergeCell ref="E116:F116"/>
    <mergeCell ref="E117:F117"/>
    <mergeCell ref="E118:F118"/>
    <mergeCell ref="E119:F119"/>
    <mergeCell ref="E110:F110"/>
    <mergeCell ref="E111:F111"/>
    <mergeCell ref="E112:F112"/>
    <mergeCell ref="E113:F113"/>
    <mergeCell ref="E114:F114"/>
    <mergeCell ref="E105:F105"/>
    <mergeCell ref="E106:F106"/>
    <mergeCell ref="E107:F107"/>
    <mergeCell ref="E108:F108"/>
    <mergeCell ref="E109:F109"/>
    <mergeCell ref="E100:F100"/>
    <mergeCell ref="E101:F101"/>
    <mergeCell ref="E102:F102"/>
    <mergeCell ref="E103:F103"/>
    <mergeCell ref="E104:F104"/>
    <mergeCell ref="E95:F95"/>
    <mergeCell ref="E96:F96"/>
    <mergeCell ref="E97:F97"/>
    <mergeCell ref="E98:F98"/>
    <mergeCell ref="E99:F99"/>
    <mergeCell ref="E90:F90"/>
    <mergeCell ref="E91:F91"/>
    <mergeCell ref="E92:F92"/>
    <mergeCell ref="E93:F93"/>
    <mergeCell ref="E94:F94"/>
    <mergeCell ref="E85:F85"/>
    <mergeCell ref="E86:F86"/>
    <mergeCell ref="E87:F87"/>
    <mergeCell ref="E88:F88"/>
    <mergeCell ref="E89:F89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72:F72"/>
    <mergeCell ref="E73:F73"/>
    <mergeCell ref="E74:F74"/>
    <mergeCell ref="E65:F65"/>
    <mergeCell ref="E66:F66"/>
    <mergeCell ref="E67:F67"/>
    <mergeCell ref="E68:F68"/>
    <mergeCell ref="E69:F69"/>
    <mergeCell ref="E80:F80"/>
    <mergeCell ref="E62:F62"/>
    <mergeCell ref="E63:F63"/>
    <mergeCell ref="E64:F64"/>
    <mergeCell ref="E56:F56"/>
    <mergeCell ref="E57:F57"/>
    <mergeCell ref="E58:F58"/>
    <mergeCell ref="E59:F59"/>
    <mergeCell ref="E70:F70"/>
    <mergeCell ref="E71:F71"/>
    <mergeCell ref="E53:F53"/>
    <mergeCell ref="E54:F54"/>
    <mergeCell ref="E55:F55"/>
    <mergeCell ref="E49:F49"/>
    <mergeCell ref="E50:F50"/>
    <mergeCell ref="E51:F51"/>
    <mergeCell ref="E52:F52"/>
    <mergeCell ref="E60:F60"/>
    <mergeCell ref="E61:F61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34:F34"/>
    <mergeCell ref="E35:F35"/>
    <mergeCell ref="E36:F36"/>
    <mergeCell ref="E37:F37"/>
    <mergeCell ref="E38:F38"/>
    <mergeCell ref="E30:F30"/>
    <mergeCell ref="E31:F31"/>
    <mergeCell ref="E32:F32"/>
    <mergeCell ref="E33:F33"/>
    <mergeCell ref="A1:I1"/>
    <mergeCell ref="E4:F4"/>
    <mergeCell ref="E12:F12"/>
    <mergeCell ref="E13:F13"/>
    <mergeCell ref="E11:F11"/>
    <mergeCell ref="E10:F10"/>
    <mergeCell ref="E9:F9"/>
    <mergeCell ref="E8:F8"/>
    <mergeCell ref="E7:F7"/>
    <mergeCell ref="E6:F6"/>
    <mergeCell ref="E5:F5"/>
  </mergeCells>
  <conditionalFormatting sqref="H43:H309 H5:H41">
    <cfRule type="cellIs" dxfId="11" priority="12" operator="greaterThan">
      <formula>10</formula>
    </cfRule>
  </conditionalFormatting>
  <conditionalFormatting sqref="H1:H2 H43:H1048576 H4:H41">
    <cfRule type="cellIs" dxfId="10" priority="9" operator="equal">
      <formula>0.0001</formula>
    </cfRule>
    <cfRule type="cellIs" dxfId="9" priority="10" operator="between">
      <formula>0.001</formula>
      <formula>0.05</formula>
    </cfRule>
    <cfRule type="cellIs" dxfId="8" priority="11" operator="greaterThan">
      <formula>0.1</formula>
    </cfRule>
  </conditionalFormatting>
  <conditionalFormatting sqref="J1:J2 J4:J41 J43:J1048576">
    <cfRule type="cellIs" dxfId="7" priority="7" operator="lessThan">
      <formula>0.5</formula>
    </cfRule>
    <cfRule type="cellIs" dxfId="6" priority="8" operator="greaterThan">
      <formula>0.5</formula>
    </cfRule>
  </conditionalFormatting>
  <conditionalFormatting sqref="H42">
    <cfRule type="cellIs" dxfId="5" priority="6" operator="greaterThan">
      <formula>10</formula>
    </cfRule>
  </conditionalFormatting>
  <conditionalFormatting sqref="H42">
    <cfRule type="cellIs" dxfId="4" priority="3" operator="equal">
      <formula>0.0001</formula>
    </cfRule>
    <cfRule type="cellIs" dxfId="3" priority="4" operator="between">
      <formula>0.001</formula>
      <formula>0.05</formula>
    </cfRule>
    <cfRule type="cellIs" dxfId="2" priority="5" operator="greaterThan">
      <formula>0.1</formula>
    </cfRule>
  </conditionalFormatting>
  <conditionalFormatting sqref="J42">
    <cfRule type="cellIs" dxfId="1" priority="1" operator="lessThan">
      <formula>0.5</formula>
    </cfRule>
    <cfRule type="cellIs" dxfId="0" priority="2" operator="greaterThan">
      <formula>0.5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1">
    <tabColor theme="8" tint="-0.499984740745262"/>
  </sheetPr>
  <dimension ref="A1:R395"/>
  <sheetViews>
    <sheetView showGridLines="0" topLeftCell="A7" zoomScale="40" zoomScaleNormal="40" zoomScaleSheetLayoutView="55" workbookViewId="0">
      <selection activeCell="C7" sqref="B7:N42"/>
    </sheetView>
  </sheetViews>
  <sheetFormatPr defaultColWidth="9.140625" defaultRowHeight="31.5" x14ac:dyDescent="0.5"/>
  <cols>
    <col min="1" max="1" width="103.85546875" style="279" customWidth="1"/>
    <col min="2" max="2" width="28.85546875" style="4" customWidth="1"/>
    <col min="3" max="3" width="79.5703125" style="4" bestFit="1" customWidth="1"/>
    <col min="4" max="4" width="49.5703125" style="23" customWidth="1"/>
    <col min="5" max="5" width="67.7109375" style="26" customWidth="1"/>
    <col min="6" max="6" width="64.28515625" style="82" customWidth="1"/>
    <col min="7" max="7" width="49.42578125" style="4" customWidth="1"/>
    <col min="8" max="8" width="49.140625" style="4" customWidth="1"/>
    <col min="9" max="9" width="53.7109375" style="4" bestFit="1" customWidth="1"/>
    <col min="10" max="10" width="40.140625" style="4" bestFit="1" customWidth="1"/>
    <col min="11" max="11" width="31.28515625" style="4" bestFit="1" customWidth="1"/>
    <col min="12" max="12" width="28.42578125" style="4" bestFit="1" customWidth="1"/>
    <col min="13" max="13" width="23" style="4" bestFit="1" customWidth="1"/>
    <col min="14" max="14" width="31.28515625" style="4" bestFit="1" customWidth="1"/>
    <col min="15" max="15" width="27" style="4" bestFit="1" customWidth="1"/>
    <col min="16" max="16" width="31.28515625" style="4" bestFit="1" customWidth="1"/>
    <col min="17" max="16384" width="9.140625" style="4"/>
  </cols>
  <sheetData>
    <row r="1" spans="1:18" ht="397.5" customHeight="1" thickBot="1" x14ac:dyDescent="0.55000000000000004">
      <c r="A1" s="293"/>
      <c r="B1" s="294"/>
      <c r="C1" s="294"/>
      <c r="D1" s="294"/>
      <c r="E1" s="294"/>
      <c r="F1" s="294"/>
      <c r="G1" s="294"/>
      <c r="H1" s="294"/>
      <c r="I1" s="295"/>
    </row>
    <row r="2" spans="1:18" customFormat="1" ht="112.5" customHeight="1" x14ac:dyDescent="0.5">
      <c r="A2" s="279"/>
      <c r="B2" s="317" t="s">
        <v>123</v>
      </c>
      <c r="C2" s="318"/>
      <c r="D2" s="138">
        <f>SUM($E$7:$E$44)</f>
        <v>0</v>
      </c>
      <c r="E2" s="139">
        <f>SUM(G7:G160)</f>
        <v>0</v>
      </c>
      <c r="F2" s="136">
        <f ca="1">SUMIF($G$7:$G$48,"PAGO",$E$7:$E$41)</f>
        <v>0</v>
      </c>
      <c r="G2" s="90">
        <f>SUM(I7:I98)</f>
        <v>0</v>
      </c>
      <c r="H2" s="137">
        <f>SUMIF(H7:H94,"PAGO",G7:G94)</f>
        <v>0</v>
      </c>
      <c r="I2" s="120"/>
      <c r="L2" s="4"/>
      <c r="M2" s="4"/>
      <c r="N2" s="4"/>
      <c r="O2" s="4"/>
      <c r="P2" s="4"/>
      <c r="Q2" s="4"/>
      <c r="R2" s="4"/>
    </row>
    <row r="3" spans="1:18" customFormat="1" ht="51.75" customHeight="1" thickBot="1" x14ac:dyDescent="0.55000000000000004">
      <c r="A3" s="290"/>
      <c r="B3" s="105"/>
      <c r="C3" s="105"/>
      <c r="D3" s="106"/>
      <c r="E3" s="105"/>
      <c r="F3" s="107"/>
      <c r="G3" s="107"/>
      <c r="H3" s="4"/>
      <c r="I3" s="4"/>
      <c r="L3" s="4"/>
      <c r="M3" s="4"/>
      <c r="N3" s="4"/>
      <c r="O3" s="4"/>
      <c r="P3" s="4"/>
      <c r="Q3" s="4"/>
      <c r="R3" s="4"/>
    </row>
    <row r="4" spans="1:18" x14ac:dyDescent="0.5">
      <c r="A4" s="290"/>
      <c r="B4" s="319" t="s">
        <v>124</v>
      </c>
      <c r="C4" s="320"/>
      <c r="D4" s="43"/>
      <c r="E4" s="41"/>
      <c r="F4" s="88"/>
      <c r="G4" s="89"/>
    </row>
    <row r="5" spans="1:18" ht="32.25" thickBot="1" x14ac:dyDescent="0.55000000000000004">
      <c r="A5" s="290"/>
      <c r="B5" s="321"/>
      <c r="C5" s="322"/>
      <c r="D5" s="43"/>
      <c r="E5" s="41"/>
      <c r="F5" s="88"/>
      <c r="G5" s="89"/>
    </row>
    <row r="6" spans="1:18" x14ac:dyDescent="0.5">
      <c r="A6" s="290"/>
      <c r="B6" s="111" t="s">
        <v>104</v>
      </c>
      <c r="C6" s="80" t="s">
        <v>135</v>
      </c>
      <c r="D6" s="112" t="s">
        <v>128</v>
      </c>
      <c r="E6" s="125" t="s">
        <v>125</v>
      </c>
      <c r="F6" s="124" t="s">
        <v>129</v>
      </c>
      <c r="G6" s="124" t="s">
        <v>133</v>
      </c>
      <c r="H6" s="142" t="s">
        <v>126</v>
      </c>
      <c r="I6" s="110" t="s">
        <v>127</v>
      </c>
      <c r="J6" s="132" t="s">
        <v>131</v>
      </c>
      <c r="K6" s="125" t="s">
        <v>132</v>
      </c>
      <c r="L6" s="143" t="s">
        <v>136</v>
      </c>
      <c r="M6" s="143" t="s">
        <v>132</v>
      </c>
    </row>
    <row r="7" spans="1:18" x14ac:dyDescent="0.5">
      <c r="A7" s="290"/>
      <c r="B7" s="108"/>
      <c r="C7" s="80"/>
      <c r="D7" s="108"/>
      <c r="E7" s="123"/>
      <c r="F7" s="165"/>
      <c r="G7" s="124"/>
      <c r="H7" s="142"/>
      <c r="I7" s="159"/>
      <c r="J7" s="134"/>
      <c r="K7" s="133"/>
      <c r="L7" s="96"/>
      <c r="M7" s="143"/>
    </row>
    <row r="8" spans="1:18" x14ac:dyDescent="0.5">
      <c r="A8" s="290"/>
      <c r="B8" s="108"/>
      <c r="C8" s="80"/>
      <c r="D8" s="108"/>
      <c r="E8" s="123"/>
      <c r="F8" s="165"/>
      <c r="G8" s="124"/>
      <c r="H8" s="142"/>
      <c r="I8" s="159"/>
      <c r="J8" s="134"/>
      <c r="K8" s="133"/>
      <c r="L8" s="96"/>
      <c r="M8" s="143"/>
    </row>
    <row r="9" spans="1:18" x14ac:dyDescent="0.5">
      <c r="A9" s="290"/>
      <c r="B9" s="108"/>
      <c r="C9" s="80"/>
      <c r="D9" s="108"/>
      <c r="E9" s="124"/>
      <c r="F9" s="165"/>
      <c r="G9" s="124"/>
      <c r="H9" s="160"/>
      <c r="I9" s="159"/>
      <c r="J9" s="134"/>
      <c r="K9" s="133"/>
      <c r="L9" s="96"/>
      <c r="M9" s="143"/>
    </row>
    <row r="10" spans="1:18" x14ac:dyDescent="0.5">
      <c r="A10" s="290"/>
      <c r="B10" s="108"/>
      <c r="C10" s="80"/>
      <c r="D10" s="108"/>
      <c r="E10" s="124"/>
      <c r="F10" s="165"/>
      <c r="G10" s="124"/>
      <c r="H10" s="160"/>
      <c r="I10" s="159"/>
      <c r="J10" s="134"/>
      <c r="K10" s="133"/>
      <c r="L10" s="96"/>
      <c r="M10" s="143"/>
    </row>
    <row r="11" spans="1:18" x14ac:dyDescent="0.5">
      <c r="A11" s="290"/>
      <c r="B11" s="108"/>
      <c r="C11" s="80"/>
      <c r="D11" s="110"/>
      <c r="E11" s="124"/>
      <c r="F11" s="165"/>
      <c r="G11" s="124"/>
      <c r="H11" s="160"/>
      <c r="I11" s="159"/>
      <c r="J11" s="134"/>
      <c r="K11" s="133"/>
      <c r="L11" s="96"/>
      <c r="M11" s="143"/>
    </row>
    <row r="12" spans="1:18" x14ac:dyDescent="0.5">
      <c r="A12" s="290"/>
      <c r="B12" s="108"/>
      <c r="C12" s="80"/>
      <c r="D12" s="108"/>
      <c r="E12" s="124"/>
      <c r="F12" s="165"/>
      <c r="G12" s="124"/>
      <c r="H12" s="160"/>
      <c r="I12" s="159"/>
      <c r="J12" s="134"/>
      <c r="K12" s="133"/>
      <c r="L12" s="96"/>
      <c r="M12" s="143"/>
    </row>
    <row r="13" spans="1:18" x14ac:dyDescent="0.5">
      <c r="A13" s="290"/>
      <c r="B13" s="108"/>
      <c r="C13" s="80"/>
      <c r="D13" s="108"/>
      <c r="E13" s="124"/>
      <c r="F13" s="165"/>
      <c r="G13" s="124"/>
      <c r="H13" s="160"/>
      <c r="I13" s="159"/>
      <c r="J13" s="134"/>
      <c r="K13" s="133"/>
      <c r="L13" s="96"/>
      <c r="M13" s="143"/>
    </row>
    <row r="14" spans="1:18" x14ac:dyDescent="0.5">
      <c r="A14" s="290"/>
      <c r="B14" s="108"/>
      <c r="C14" s="80"/>
      <c r="D14" s="108"/>
      <c r="E14" s="124"/>
      <c r="F14" s="165"/>
      <c r="G14" s="124"/>
      <c r="H14" s="160"/>
      <c r="I14" s="159"/>
      <c r="J14" s="134"/>
      <c r="K14" s="133"/>
      <c r="L14" s="96"/>
      <c r="M14" s="143"/>
    </row>
    <row r="15" spans="1:18" x14ac:dyDescent="0.5">
      <c r="A15" s="290"/>
      <c r="B15" s="108"/>
      <c r="C15" s="80"/>
      <c r="D15" s="108"/>
      <c r="E15" s="124"/>
      <c r="F15" s="165"/>
      <c r="G15" s="124"/>
      <c r="H15" s="160"/>
      <c r="I15" s="159"/>
      <c r="J15" s="134"/>
      <c r="K15" s="133"/>
      <c r="L15" s="96"/>
      <c r="M15" s="143"/>
    </row>
    <row r="16" spans="1:18" x14ac:dyDescent="0.5">
      <c r="A16" s="290"/>
      <c r="B16" s="108"/>
      <c r="C16" s="80"/>
      <c r="D16" s="108"/>
      <c r="E16" s="124"/>
      <c r="F16" s="165"/>
      <c r="G16" s="124"/>
      <c r="H16" s="160"/>
      <c r="I16" s="159"/>
      <c r="J16" s="134"/>
      <c r="K16" s="133"/>
      <c r="L16" s="96"/>
      <c r="M16" s="143"/>
    </row>
    <row r="17" spans="1:13" x14ac:dyDescent="0.5">
      <c r="A17" s="290"/>
      <c r="B17" s="108"/>
      <c r="C17" s="80"/>
      <c r="D17" s="108"/>
      <c r="E17" s="124"/>
      <c r="F17" s="165"/>
      <c r="G17" s="124"/>
      <c r="H17" s="160"/>
      <c r="I17" s="159"/>
      <c r="J17" s="134"/>
      <c r="K17" s="133"/>
      <c r="L17" s="96"/>
      <c r="M17" s="143"/>
    </row>
    <row r="18" spans="1:13" x14ac:dyDescent="0.5">
      <c r="A18" s="290"/>
      <c r="B18" s="108"/>
      <c r="C18" s="80"/>
      <c r="D18" s="110"/>
      <c r="E18" s="124"/>
      <c r="F18" s="165"/>
      <c r="G18" s="124"/>
      <c r="H18" s="160"/>
      <c r="I18" s="159"/>
      <c r="J18" s="134"/>
      <c r="K18" s="133"/>
      <c r="L18" s="96"/>
      <c r="M18" s="143"/>
    </row>
    <row r="19" spans="1:13" x14ac:dyDescent="0.5">
      <c r="A19" s="290"/>
      <c r="B19" s="108"/>
      <c r="C19" s="80"/>
      <c r="D19" s="110"/>
      <c r="E19" s="124"/>
      <c r="F19" s="165"/>
      <c r="G19" s="124"/>
      <c r="H19" s="160"/>
      <c r="I19" s="159"/>
      <c r="J19" s="134"/>
      <c r="K19" s="133"/>
      <c r="L19" s="96"/>
      <c r="M19" s="143"/>
    </row>
    <row r="20" spans="1:13" x14ac:dyDescent="0.5">
      <c r="A20" s="290"/>
      <c r="B20" s="108"/>
      <c r="C20" s="80"/>
      <c r="D20" s="108"/>
      <c r="E20" s="124"/>
      <c r="F20" s="165"/>
      <c r="G20" s="124"/>
      <c r="H20" s="160"/>
      <c r="I20" s="159"/>
      <c r="J20" s="134"/>
      <c r="K20" s="133"/>
      <c r="L20" s="96"/>
      <c r="M20" s="143"/>
    </row>
    <row r="21" spans="1:13" x14ac:dyDescent="0.5">
      <c r="A21" s="290"/>
      <c r="B21" s="108"/>
      <c r="C21" s="80"/>
      <c r="D21" s="108"/>
      <c r="E21" s="124"/>
      <c r="F21" s="165"/>
      <c r="G21" s="124"/>
      <c r="H21" s="160"/>
      <c r="I21" s="159"/>
      <c r="J21" s="134"/>
      <c r="K21" s="133"/>
      <c r="L21" s="96"/>
      <c r="M21" s="143"/>
    </row>
    <row r="22" spans="1:13" x14ac:dyDescent="0.5">
      <c r="A22" s="290"/>
      <c r="B22" s="108"/>
      <c r="C22" s="80"/>
      <c r="D22" s="108"/>
      <c r="E22" s="124"/>
      <c r="F22" s="165"/>
      <c r="G22" s="124"/>
      <c r="H22" s="160"/>
      <c r="I22" s="159"/>
      <c r="J22" s="134"/>
      <c r="K22" s="133"/>
      <c r="L22" s="96"/>
      <c r="M22" s="143"/>
    </row>
    <row r="23" spans="1:13" x14ac:dyDescent="0.5">
      <c r="A23" s="290"/>
      <c r="B23" s="102"/>
      <c r="C23" s="80"/>
      <c r="D23" s="108"/>
      <c r="E23" s="124"/>
      <c r="F23" s="165"/>
      <c r="G23" s="124"/>
      <c r="H23" s="160"/>
      <c r="I23" s="159"/>
      <c r="J23" s="134"/>
      <c r="K23" s="133"/>
      <c r="L23" s="96"/>
      <c r="M23" s="143"/>
    </row>
    <row r="24" spans="1:13" x14ac:dyDescent="0.5">
      <c r="A24" s="290"/>
      <c r="B24" s="102"/>
      <c r="C24" s="80"/>
      <c r="D24" s="108"/>
      <c r="E24" s="124"/>
      <c r="F24" s="165"/>
      <c r="G24" s="124"/>
      <c r="H24" s="160"/>
      <c r="I24" s="159"/>
      <c r="J24" s="134"/>
      <c r="K24" s="133"/>
      <c r="L24" s="96"/>
      <c r="M24" s="143"/>
    </row>
    <row r="25" spans="1:13" x14ac:dyDescent="0.5">
      <c r="A25" s="290"/>
      <c r="B25" s="102"/>
      <c r="C25" s="80"/>
      <c r="D25" s="108"/>
      <c r="E25" s="124"/>
      <c r="F25" s="165"/>
      <c r="G25" s="124"/>
      <c r="H25" s="160"/>
      <c r="I25" s="159"/>
      <c r="J25" s="134"/>
      <c r="K25" s="133"/>
      <c r="L25" s="96"/>
      <c r="M25" s="143"/>
    </row>
    <row r="26" spans="1:13" x14ac:dyDescent="0.5">
      <c r="A26" s="290"/>
      <c r="B26" s="102"/>
      <c r="C26" s="80"/>
      <c r="D26" s="108"/>
      <c r="E26" s="124"/>
      <c r="F26" s="165"/>
      <c r="G26" s="124"/>
      <c r="H26" s="160"/>
      <c r="I26" s="143"/>
      <c r="J26" s="134"/>
      <c r="K26" s="133"/>
      <c r="L26" s="96"/>
      <c r="M26" s="143"/>
    </row>
    <row r="27" spans="1:13" x14ac:dyDescent="0.5">
      <c r="A27" s="290"/>
      <c r="B27" s="102"/>
      <c r="C27" s="80"/>
      <c r="D27" s="108"/>
      <c r="E27" s="124"/>
      <c r="F27" s="165"/>
      <c r="G27" s="124"/>
      <c r="H27" s="160"/>
      <c r="I27" s="143"/>
      <c r="J27" s="134"/>
      <c r="K27" s="133"/>
      <c r="L27" s="96"/>
      <c r="M27" s="143"/>
    </row>
    <row r="28" spans="1:13" x14ac:dyDescent="0.5">
      <c r="A28" s="290"/>
      <c r="B28" s="102"/>
      <c r="C28" s="80"/>
      <c r="D28" s="108"/>
      <c r="E28" s="124"/>
      <c r="F28" s="165"/>
      <c r="G28" s="124"/>
      <c r="H28" s="160"/>
      <c r="I28" s="96"/>
      <c r="J28" s="134"/>
      <c r="K28" s="133"/>
      <c r="L28" s="96"/>
      <c r="M28" s="143"/>
    </row>
    <row r="29" spans="1:13" x14ac:dyDescent="0.5">
      <c r="A29" s="290"/>
      <c r="B29" s="102"/>
      <c r="C29" s="80"/>
      <c r="D29" s="108"/>
      <c r="E29" s="124"/>
      <c r="F29" s="165"/>
      <c r="G29" s="124"/>
      <c r="H29" s="160"/>
      <c r="I29" s="96"/>
      <c r="J29" s="134"/>
      <c r="K29" s="133"/>
      <c r="L29" s="96"/>
      <c r="M29" s="143"/>
    </row>
    <row r="30" spans="1:13" x14ac:dyDescent="0.5">
      <c r="A30" s="290"/>
      <c r="B30" s="102"/>
      <c r="C30" s="80"/>
      <c r="D30" s="108"/>
      <c r="E30" s="124"/>
      <c r="F30" s="165"/>
      <c r="G30" s="124"/>
      <c r="H30" s="160"/>
      <c r="I30" s="96"/>
      <c r="J30" s="134"/>
      <c r="K30" s="133"/>
      <c r="L30" s="96"/>
      <c r="M30" s="143"/>
    </row>
    <row r="31" spans="1:13" x14ac:dyDescent="0.5">
      <c r="A31" s="290"/>
      <c r="B31" s="102"/>
      <c r="C31" s="80"/>
      <c r="D31" s="108"/>
      <c r="E31" s="124"/>
      <c r="F31" s="165"/>
      <c r="G31" s="124"/>
      <c r="H31" s="160"/>
      <c r="I31" s="143"/>
      <c r="J31" s="134"/>
      <c r="K31" s="133"/>
      <c r="L31" s="96"/>
      <c r="M31" s="143"/>
    </row>
    <row r="32" spans="1:13" x14ac:dyDescent="0.5">
      <c r="A32" s="290"/>
      <c r="B32" s="102"/>
      <c r="C32" s="80"/>
      <c r="D32" s="108"/>
      <c r="E32" s="124"/>
      <c r="F32" s="165"/>
      <c r="G32" s="124"/>
      <c r="H32" s="160"/>
      <c r="I32" s="143"/>
      <c r="J32" s="135"/>
      <c r="K32" s="133"/>
      <c r="L32" s="96"/>
      <c r="M32" s="143"/>
    </row>
    <row r="33" spans="1:14" x14ac:dyDescent="0.5">
      <c r="A33" s="290"/>
      <c r="B33" s="102"/>
      <c r="C33" s="80"/>
      <c r="D33" s="108"/>
      <c r="E33" s="124"/>
      <c r="F33" s="165"/>
      <c r="G33" s="124"/>
      <c r="H33" s="160"/>
      <c r="I33" s="143"/>
      <c r="J33" s="135"/>
      <c r="K33" s="133"/>
      <c r="L33" s="163"/>
      <c r="M33" s="143"/>
      <c r="N33" s="141"/>
    </row>
    <row r="34" spans="1:14" x14ac:dyDescent="0.5">
      <c r="A34" s="290"/>
      <c r="B34" s="102"/>
      <c r="C34" s="80"/>
      <c r="D34" s="108"/>
      <c r="E34" s="124"/>
      <c r="F34" s="165"/>
      <c r="G34" s="124"/>
      <c r="H34" s="160"/>
      <c r="I34" s="143"/>
      <c r="J34" s="135"/>
      <c r="K34" s="133"/>
      <c r="L34" s="96"/>
      <c r="M34" s="143"/>
    </row>
    <row r="35" spans="1:14" x14ac:dyDescent="0.5">
      <c r="A35" s="290"/>
      <c r="B35" s="102"/>
      <c r="C35" s="80"/>
      <c r="D35" s="108"/>
      <c r="E35" s="124"/>
      <c r="F35" s="165"/>
      <c r="G35" s="124"/>
      <c r="H35" s="160"/>
      <c r="I35" s="143"/>
      <c r="J35" s="135"/>
      <c r="K35" s="133"/>
      <c r="L35" s="96"/>
      <c r="M35" s="143"/>
    </row>
    <row r="36" spans="1:14" x14ac:dyDescent="0.5">
      <c r="A36" s="290"/>
      <c r="B36" s="102"/>
      <c r="C36" s="80"/>
      <c r="D36" s="108"/>
      <c r="E36" s="124"/>
      <c r="F36" s="165"/>
      <c r="G36" s="124"/>
      <c r="H36" s="160"/>
      <c r="I36" s="143"/>
      <c r="J36" s="135"/>
      <c r="K36" s="133"/>
      <c r="L36" s="96"/>
      <c r="M36" s="143"/>
    </row>
    <row r="37" spans="1:14" x14ac:dyDescent="0.5">
      <c r="A37" s="290"/>
      <c r="B37" s="102"/>
      <c r="C37" s="80"/>
      <c r="D37" s="108"/>
      <c r="E37" s="124"/>
      <c r="F37" s="165"/>
      <c r="G37" s="124"/>
      <c r="H37" s="160"/>
      <c r="I37" s="143"/>
      <c r="J37" s="135"/>
      <c r="K37" s="133"/>
      <c r="L37" s="96"/>
      <c r="M37" s="143"/>
    </row>
    <row r="38" spans="1:14" x14ac:dyDescent="0.5">
      <c r="A38" s="290"/>
      <c r="B38" s="102"/>
      <c r="C38" s="80"/>
      <c r="D38" s="108"/>
      <c r="E38" s="124"/>
      <c r="F38" s="165"/>
      <c r="G38" s="124"/>
      <c r="H38" s="160"/>
      <c r="I38" s="143"/>
      <c r="J38" s="135"/>
      <c r="K38" s="133"/>
      <c r="L38" s="96"/>
      <c r="M38" s="143"/>
    </row>
    <row r="39" spans="1:14" x14ac:dyDescent="0.5">
      <c r="A39" s="290"/>
      <c r="B39" s="102"/>
      <c r="C39" s="19"/>
      <c r="D39" s="108"/>
      <c r="E39" s="124"/>
      <c r="F39" s="166"/>
      <c r="G39" s="124"/>
      <c r="H39" s="160"/>
      <c r="I39" s="143"/>
      <c r="J39" s="135"/>
      <c r="K39" s="133"/>
      <c r="L39" s="96"/>
      <c r="M39" s="143"/>
    </row>
    <row r="40" spans="1:14" x14ac:dyDescent="0.5">
      <c r="A40" s="290"/>
      <c r="B40" s="102"/>
      <c r="C40" s="19"/>
      <c r="D40" s="108"/>
      <c r="E40" s="124"/>
      <c r="F40" s="166"/>
      <c r="G40" s="124"/>
      <c r="H40" s="110"/>
      <c r="I40" s="143"/>
      <c r="J40" s="135"/>
      <c r="K40" s="133"/>
      <c r="L40" s="96"/>
      <c r="M40" s="143"/>
    </row>
    <row r="41" spans="1:14" x14ac:dyDescent="0.5">
      <c r="A41" s="290"/>
      <c r="B41" s="102"/>
      <c r="C41" s="19"/>
      <c r="D41" s="108"/>
      <c r="E41" s="124"/>
      <c r="F41" s="166"/>
      <c r="G41" s="124"/>
      <c r="H41" s="110"/>
      <c r="I41" s="143"/>
      <c r="J41" s="135"/>
      <c r="K41" s="133"/>
      <c r="L41" s="96"/>
      <c r="M41" s="143"/>
    </row>
    <row r="42" spans="1:14" x14ac:dyDescent="0.5">
      <c r="A42" s="290"/>
      <c r="B42" s="102"/>
      <c r="C42" s="19"/>
      <c r="D42" s="108"/>
      <c r="E42" s="124"/>
      <c r="F42" s="166"/>
      <c r="G42" s="124"/>
      <c r="H42" s="110"/>
      <c r="I42" s="143"/>
      <c r="J42" s="135"/>
      <c r="K42" s="133"/>
      <c r="L42" s="96"/>
      <c r="M42" s="143"/>
    </row>
    <row r="43" spans="1:14" x14ac:dyDescent="0.5">
      <c r="A43" s="290"/>
      <c r="B43" s="102"/>
      <c r="C43" s="19"/>
      <c r="D43" s="108"/>
      <c r="E43" s="124"/>
      <c r="F43" s="127"/>
      <c r="G43" s="124"/>
      <c r="H43" s="110"/>
      <c r="I43" s="143"/>
      <c r="J43" s="135"/>
      <c r="K43" s="133"/>
      <c r="L43" s="96"/>
      <c r="M43" s="143"/>
    </row>
    <row r="44" spans="1:14" x14ac:dyDescent="0.5">
      <c r="A44" s="290"/>
      <c r="B44" s="102"/>
      <c r="C44" s="19"/>
      <c r="D44" s="19"/>
      <c r="E44" s="124"/>
      <c r="F44" s="127"/>
      <c r="G44" s="124"/>
      <c r="H44" s="110"/>
      <c r="I44" s="143"/>
      <c r="J44" s="135"/>
      <c r="K44" s="133"/>
      <c r="L44" s="96"/>
      <c r="M44" s="143"/>
    </row>
    <row r="45" spans="1:14" x14ac:dyDescent="0.5">
      <c r="A45" s="290"/>
      <c r="B45" s="102"/>
      <c r="C45" s="19"/>
      <c r="D45" s="19"/>
      <c r="E45" s="124"/>
      <c r="F45" s="127"/>
      <c r="G45" s="124"/>
      <c r="H45" s="110"/>
      <c r="I45" s="143"/>
      <c r="J45" s="135"/>
      <c r="K45" s="133"/>
      <c r="L45" s="96"/>
      <c r="M45" s="143"/>
    </row>
    <row r="46" spans="1:14" x14ac:dyDescent="0.5">
      <c r="A46" s="290"/>
      <c r="B46" s="102"/>
      <c r="C46" s="19"/>
      <c r="D46" s="19"/>
      <c r="E46" s="124"/>
      <c r="F46" s="127"/>
      <c r="G46" s="124"/>
      <c r="H46" s="110"/>
      <c r="I46" s="143"/>
      <c r="J46" s="135"/>
      <c r="K46" s="133"/>
      <c r="L46" s="96"/>
      <c r="M46" s="143"/>
    </row>
    <row r="47" spans="1:14" x14ac:dyDescent="0.5">
      <c r="A47" s="290"/>
      <c r="B47" s="157"/>
      <c r="C47" s="19"/>
      <c r="D47" s="19"/>
      <c r="E47" s="124"/>
      <c r="F47" s="127"/>
      <c r="G47" s="124"/>
      <c r="H47" s="110"/>
      <c r="I47" s="143"/>
      <c r="J47" s="135"/>
      <c r="K47" s="133"/>
      <c r="L47" s="96"/>
      <c r="M47" s="143"/>
    </row>
    <row r="48" spans="1:14" x14ac:dyDescent="0.5">
      <c r="A48" s="290"/>
      <c r="B48" s="158"/>
      <c r="C48" s="156"/>
      <c r="D48" s="38"/>
      <c r="E48" s="144"/>
      <c r="F48" s="145"/>
      <c r="G48" s="144"/>
      <c r="H48" s="161"/>
      <c r="I48" s="162"/>
      <c r="J48" s="146"/>
      <c r="K48" s="133"/>
      <c r="L48" s="96"/>
      <c r="M48" s="162"/>
    </row>
    <row r="49" spans="1:13" x14ac:dyDescent="0.5">
      <c r="A49" s="290"/>
      <c r="B49" s="158"/>
      <c r="C49" s="148"/>
      <c r="D49" s="149"/>
      <c r="E49" s="150"/>
      <c r="F49" s="149"/>
      <c r="G49" s="151"/>
      <c r="H49" s="152"/>
      <c r="I49" s="153"/>
      <c r="J49" s="148"/>
      <c r="K49" s="148"/>
      <c r="L49" s="148"/>
      <c r="M49" s="152"/>
    </row>
    <row r="50" spans="1:13" x14ac:dyDescent="0.5">
      <c r="A50" s="290"/>
      <c r="B50" s="158"/>
      <c r="C50" s="148"/>
      <c r="D50" s="153"/>
      <c r="E50" s="154"/>
      <c r="F50" s="149"/>
      <c r="G50" s="155"/>
      <c r="H50" s="148"/>
      <c r="I50" s="153"/>
      <c r="J50" s="148"/>
      <c r="K50" s="148"/>
      <c r="L50" s="148"/>
      <c r="M50" s="152"/>
    </row>
    <row r="51" spans="1:13" x14ac:dyDescent="0.5">
      <c r="A51" s="290"/>
      <c r="B51" s="158"/>
      <c r="C51" s="148"/>
      <c r="D51" s="153"/>
      <c r="E51" s="154"/>
      <c r="F51" s="149"/>
      <c r="G51" s="155"/>
      <c r="H51" s="148"/>
      <c r="I51" s="153"/>
      <c r="J51" s="148"/>
      <c r="K51" s="148"/>
      <c r="L51" s="148"/>
      <c r="M51" s="152"/>
    </row>
    <row r="52" spans="1:13" x14ac:dyDescent="0.5">
      <c r="A52" s="290"/>
      <c r="B52" s="158"/>
      <c r="C52" s="148"/>
      <c r="D52" s="153"/>
      <c r="E52" s="154"/>
      <c r="F52" s="149"/>
      <c r="G52" s="155"/>
      <c r="H52" s="148"/>
      <c r="I52" s="153"/>
      <c r="J52" s="148"/>
      <c r="K52" s="148"/>
      <c r="L52" s="148"/>
      <c r="M52" s="152"/>
    </row>
    <row r="53" spans="1:13" x14ac:dyDescent="0.5">
      <c r="A53" s="290"/>
      <c r="B53" s="158"/>
      <c r="C53" s="148"/>
      <c r="D53" s="153"/>
      <c r="E53" s="154"/>
      <c r="F53" s="149"/>
      <c r="G53" s="155"/>
      <c r="H53" s="148"/>
      <c r="I53" s="153"/>
      <c r="J53" s="148"/>
      <c r="K53" s="148"/>
      <c r="L53" s="148"/>
      <c r="M53" s="152"/>
    </row>
    <row r="54" spans="1:13" x14ac:dyDescent="0.5">
      <c r="A54" s="290"/>
      <c r="B54" s="158"/>
      <c r="C54" s="148"/>
      <c r="D54" s="153"/>
      <c r="E54" s="154"/>
      <c r="F54" s="149"/>
      <c r="G54" s="155"/>
      <c r="H54" s="148"/>
      <c r="I54" s="153"/>
      <c r="J54" s="148"/>
      <c r="K54" s="148"/>
      <c r="L54" s="148"/>
      <c r="M54" s="152"/>
    </row>
    <row r="55" spans="1:13" x14ac:dyDescent="0.5">
      <c r="A55" s="290"/>
      <c r="B55" s="158"/>
      <c r="C55" s="148"/>
      <c r="D55" s="153"/>
      <c r="E55" s="154"/>
      <c r="F55" s="149"/>
      <c r="G55" s="155"/>
      <c r="H55" s="148"/>
      <c r="I55" s="153"/>
      <c r="J55" s="148"/>
      <c r="K55" s="148"/>
      <c r="L55" s="148"/>
      <c r="M55" s="152"/>
    </row>
    <row r="56" spans="1:13" x14ac:dyDescent="0.5">
      <c r="A56" s="290"/>
      <c r="B56" s="158"/>
      <c r="C56" s="148"/>
      <c r="D56" s="153"/>
      <c r="E56" s="154"/>
      <c r="F56" s="149"/>
      <c r="G56" s="155"/>
      <c r="H56" s="148"/>
      <c r="I56" s="153"/>
      <c r="J56" s="148"/>
      <c r="K56" s="148"/>
      <c r="L56" s="148"/>
      <c r="M56" s="152"/>
    </row>
    <row r="57" spans="1:13" x14ac:dyDescent="0.5">
      <c r="A57" s="290"/>
      <c r="B57" s="158"/>
      <c r="C57" s="148"/>
      <c r="D57" s="153"/>
      <c r="E57" s="154"/>
      <c r="F57" s="149"/>
      <c r="G57" s="155"/>
      <c r="H57" s="148"/>
      <c r="I57" s="153"/>
      <c r="J57" s="148"/>
      <c r="K57" s="148"/>
      <c r="L57" s="148"/>
      <c r="M57" s="152"/>
    </row>
    <row r="58" spans="1:13" x14ac:dyDescent="0.5">
      <c r="A58" s="290"/>
      <c r="B58" s="158"/>
      <c r="C58" s="148"/>
      <c r="D58" s="153"/>
      <c r="E58" s="154"/>
      <c r="F58" s="149"/>
      <c r="G58" s="155"/>
      <c r="H58" s="148"/>
      <c r="I58" s="153"/>
      <c r="J58" s="148"/>
      <c r="K58" s="148"/>
      <c r="L58" s="148"/>
      <c r="M58" s="152"/>
    </row>
    <row r="59" spans="1:13" x14ac:dyDescent="0.5">
      <c r="A59" s="290"/>
      <c r="B59" s="158"/>
      <c r="C59" s="148"/>
      <c r="D59" s="153"/>
      <c r="E59" s="154"/>
      <c r="F59" s="149"/>
      <c r="G59" s="155"/>
      <c r="H59" s="148"/>
      <c r="I59" s="153"/>
      <c r="J59" s="148"/>
      <c r="K59" s="148"/>
      <c r="L59" s="148"/>
      <c r="M59" s="152"/>
    </row>
    <row r="60" spans="1:13" x14ac:dyDescent="0.5">
      <c r="A60" s="290"/>
      <c r="B60" s="158"/>
      <c r="C60" s="148"/>
      <c r="D60" s="153"/>
      <c r="E60" s="154"/>
      <c r="F60" s="149"/>
      <c r="G60" s="155"/>
      <c r="H60" s="148"/>
      <c r="I60" s="153"/>
      <c r="J60" s="148"/>
      <c r="K60" s="148"/>
      <c r="L60" s="148"/>
      <c r="M60" s="152"/>
    </row>
    <row r="61" spans="1:13" x14ac:dyDescent="0.5">
      <c r="A61" s="290"/>
      <c r="B61" s="158"/>
      <c r="C61" s="148"/>
      <c r="D61" s="153"/>
      <c r="E61" s="154"/>
      <c r="F61" s="149"/>
      <c r="G61" s="155"/>
      <c r="H61" s="148"/>
      <c r="I61" s="153"/>
      <c r="J61" s="148"/>
      <c r="K61" s="148"/>
      <c r="L61" s="148"/>
      <c r="M61" s="152"/>
    </row>
    <row r="62" spans="1:13" x14ac:dyDescent="0.5">
      <c r="A62" s="290"/>
      <c r="B62" s="158"/>
      <c r="C62" s="148"/>
      <c r="D62" s="153"/>
      <c r="E62" s="154"/>
      <c r="F62" s="149"/>
      <c r="G62" s="155"/>
      <c r="H62" s="148"/>
      <c r="I62" s="153"/>
      <c r="J62" s="148"/>
      <c r="K62" s="148"/>
      <c r="L62" s="148"/>
      <c r="M62" s="152"/>
    </row>
    <row r="63" spans="1:13" x14ac:dyDescent="0.5">
      <c r="A63" s="290"/>
      <c r="B63" s="158"/>
      <c r="C63" s="148"/>
      <c r="D63" s="153"/>
      <c r="E63" s="154"/>
      <c r="F63" s="149"/>
      <c r="G63" s="155"/>
      <c r="H63" s="148"/>
      <c r="I63" s="153"/>
      <c r="J63" s="148"/>
      <c r="K63" s="148"/>
      <c r="L63" s="148"/>
      <c r="M63" s="152"/>
    </row>
    <row r="64" spans="1:13" x14ac:dyDescent="0.5">
      <c r="A64" s="290"/>
      <c r="B64" s="158"/>
      <c r="C64" s="148"/>
      <c r="D64" s="153"/>
      <c r="E64" s="154"/>
      <c r="F64" s="149"/>
      <c r="G64" s="155"/>
      <c r="H64" s="148"/>
      <c r="I64" s="153"/>
      <c r="J64" s="148"/>
      <c r="K64" s="148"/>
      <c r="L64" s="148"/>
      <c r="M64" s="152"/>
    </row>
    <row r="65" spans="1:13" x14ac:dyDescent="0.5">
      <c r="A65" s="290"/>
      <c r="B65" s="158"/>
      <c r="C65" s="148"/>
      <c r="D65" s="153"/>
      <c r="E65" s="154"/>
      <c r="F65" s="149"/>
      <c r="G65" s="155"/>
      <c r="H65" s="148"/>
      <c r="I65" s="153"/>
      <c r="J65" s="148"/>
      <c r="K65" s="148"/>
      <c r="L65" s="148"/>
      <c r="M65" s="152"/>
    </row>
    <row r="66" spans="1:13" x14ac:dyDescent="0.5">
      <c r="A66" s="290"/>
      <c r="B66" s="158"/>
      <c r="C66" s="148"/>
      <c r="D66" s="153"/>
      <c r="E66" s="154"/>
      <c r="F66" s="149"/>
      <c r="G66" s="155"/>
      <c r="H66" s="148"/>
      <c r="I66" s="153"/>
      <c r="J66" s="148"/>
      <c r="K66" s="148"/>
      <c r="L66" s="148"/>
      <c r="M66" s="152"/>
    </row>
    <row r="67" spans="1:13" x14ac:dyDescent="0.5">
      <c r="A67" s="290"/>
      <c r="B67" s="158"/>
      <c r="C67" s="148"/>
      <c r="D67" s="153"/>
      <c r="E67" s="154"/>
      <c r="F67" s="149"/>
      <c r="G67" s="155"/>
      <c r="H67" s="148"/>
      <c r="I67" s="153"/>
      <c r="J67" s="148"/>
      <c r="K67" s="148"/>
      <c r="L67" s="148"/>
      <c r="M67" s="152"/>
    </row>
    <row r="68" spans="1:13" x14ac:dyDescent="0.5">
      <c r="A68" s="290"/>
      <c r="B68" s="158"/>
      <c r="C68" s="148"/>
      <c r="D68" s="153"/>
      <c r="E68" s="154"/>
      <c r="F68" s="149"/>
      <c r="G68" s="155"/>
      <c r="H68" s="148"/>
      <c r="I68" s="153"/>
      <c r="J68" s="148"/>
      <c r="K68" s="148"/>
      <c r="L68" s="148"/>
      <c r="M68" s="152"/>
    </row>
    <row r="69" spans="1:13" x14ac:dyDescent="0.5">
      <c r="A69" s="290"/>
      <c r="B69" s="158"/>
      <c r="C69" s="148"/>
      <c r="D69" s="153"/>
      <c r="E69" s="154"/>
      <c r="F69" s="149"/>
      <c r="G69" s="155"/>
      <c r="H69" s="148"/>
      <c r="I69" s="153"/>
      <c r="J69" s="148"/>
      <c r="K69" s="148"/>
      <c r="L69" s="148"/>
      <c r="M69" s="152"/>
    </row>
    <row r="70" spans="1:13" x14ac:dyDescent="0.5">
      <c r="A70" s="290"/>
      <c r="B70" s="158"/>
      <c r="C70" s="148"/>
      <c r="D70" s="153"/>
      <c r="E70" s="154"/>
      <c r="F70" s="149"/>
      <c r="G70" s="155"/>
      <c r="H70" s="148"/>
      <c r="I70" s="148"/>
      <c r="J70" s="148"/>
      <c r="K70" s="148"/>
      <c r="L70" s="148"/>
      <c r="M70" s="152"/>
    </row>
    <row r="71" spans="1:13" x14ac:dyDescent="0.5">
      <c r="A71" s="290"/>
      <c r="B71" s="158"/>
      <c r="C71" s="148"/>
      <c r="D71" s="153"/>
      <c r="E71" s="154"/>
      <c r="F71" s="149"/>
      <c r="G71" s="155"/>
      <c r="H71" s="148"/>
      <c r="I71" s="148"/>
      <c r="J71" s="148"/>
      <c r="K71" s="148"/>
      <c r="L71" s="148"/>
      <c r="M71" s="152"/>
    </row>
    <row r="72" spans="1:13" x14ac:dyDescent="0.5">
      <c r="A72" s="290"/>
      <c r="B72" s="158"/>
      <c r="C72" s="148"/>
      <c r="D72" s="153"/>
      <c r="E72" s="154"/>
      <c r="F72" s="149"/>
      <c r="G72" s="155"/>
      <c r="H72" s="148"/>
      <c r="I72" s="148"/>
      <c r="J72" s="148"/>
      <c r="K72" s="148"/>
      <c r="L72" s="148"/>
      <c r="M72" s="152"/>
    </row>
    <row r="73" spans="1:13" x14ac:dyDescent="0.5">
      <c r="A73" s="290"/>
      <c r="B73" s="158"/>
      <c r="C73" s="148"/>
      <c r="D73" s="153"/>
      <c r="E73" s="154"/>
      <c r="F73" s="149"/>
      <c r="G73" s="155"/>
      <c r="H73" s="148"/>
      <c r="I73" s="148"/>
      <c r="J73" s="148"/>
      <c r="K73" s="148"/>
      <c r="L73" s="148"/>
      <c r="M73" s="152"/>
    </row>
    <row r="74" spans="1:13" x14ac:dyDescent="0.5">
      <c r="A74" s="290"/>
      <c r="B74" s="158"/>
      <c r="C74" s="148"/>
      <c r="D74" s="153"/>
      <c r="E74" s="154"/>
      <c r="F74" s="149"/>
      <c r="G74" s="155"/>
      <c r="H74" s="148"/>
      <c r="I74" s="148"/>
      <c r="J74" s="148"/>
      <c r="K74" s="148"/>
      <c r="L74" s="148"/>
      <c r="M74" s="152"/>
    </row>
    <row r="75" spans="1:13" x14ac:dyDescent="0.5">
      <c r="A75" s="290"/>
      <c r="B75" s="158"/>
      <c r="C75" s="148"/>
      <c r="D75" s="153"/>
      <c r="E75" s="154"/>
      <c r="F75" s="149"/>
      <c r="G75" s="155"/>
      <c r="H75" s="148"/>
      <c r="I75" s="148"/>
      <c r="J75" s="148"/>
      <c r="K75" s="148"/>
      <c r="L75" s="148"/>
      <c r="M75" s="152"/>
    </row>
    <row r="76" spans="1:13" x14ac:dyDescent="0.5">
      <c r="A76" s="290"/>
      <c r="B76" s="158"/>
      <c r="C76" s="148"/>
      <c r="D76" s="153"/>
      <c r="E76" s="154"/>
      <c r="F76" s="149"/>
      <c r="G76" s="155"/>
      <c r="H76" s="148"/>
      <c r="I76" s="148"/>
      <c r="J76" s="148"/>
      <c r="K76" s="148"/>
      <c r="L76" s="148"/>
      <c r="M76" s="152"/>
    </row>
    <row r="77" spans="1:13" x14ac:dyDescent="0.5">
      <c r="A77" s="290"/>
      <c r="B77" s="158"/>
      <c r="C77" s="148"/>
      <c r="D77" s="153"/>
      <c r="E77" s="154"/>
      <c r="F77" s="149"/>
      <c r="G77" s="155"/>
      <c r="H77" s="148"/>
      <c r="I77" s="148"/>
      <c r="J77" s="148"/>
      <c r="K77" s="148"/>
      <c r="L77" s="148"/>
      <c r="M77" s="152"/>
    </row>
    <row r="78" spans="1:13" x14ac:dyDescent="0.5">
      <c r="A78" s="290"/>
      <c r="B78" s="158"/>
      <c r="C78" s="148"/>
      <c r="D78" s="153"/>
      <c r="E78" s="154"/>
      <c r="F78" s="149"/>
      <c r="G78" s="155"/>
      <c r="H78" s="148"/>
      <c r="I78" s="148"/>
      <c r="J78" s="148"/>
      <c r="K78" s="148"/>
      <c r="L78" s="148"/>
      <c r="M78" s="152"/>
    </row>
    <row r="79" spans="1:13" x14ac:dyDescent="0.5">
      <c r="A79" s="290"/>
      <c r="B79" s="158"/>
      <c r="C79" s="148"/>
      <c r="D79" s="153"/>
      <c r="E79" s="154"/>
      <c r="F79" s="149"/>
      <c r="G79" s="155"/>
      <c r="H79" s="148"/>
      <c r="I79" s="148"/>
      <c r="J79" s="148"/>
      <c r="K79" s="148"/>
      <c r="L79" s="148"/>
      <c r="M79" s="152"/>
    </row>
    <row r="80" spans="1:13" x14ac:dyDescent="0.5">
      <c r="A80" s="290"/>
      <c r="B80" s="158"/>
      <c r="C80" s="148"/>
      <c r="D80" s="153"/>
      <c r="E80" s="154"/>
      <c r="F80" s="149"/>
      <c r="G80" s="155"/>
      <c r="H80" s="148"/>
      <c r="I80" s="148"/>
      <c r="J80" s="148"/>
      <c r="K80" s="148"/>
      <c r="L80" s="148"/>
      <c r="M80" s="152"/>
    </row>
    <row r="81" spans="1:13" x14ac:dyDescent="0.5">
      <c r="A81" s="290"/>
      <c r="B81" s="158"/>
      <c r="C81" s="148"/>
      <c r="D81" s="153"/>
      <c r="E81" s="154"/>
      <c r="F81" s="149"/>
      <c r="G81" s="155"/>
      <c r="H81" s="148"/>
      <c r="I81" s="148"/>
      <c r="J81" s="148"/>
      <c r="K81" s="148"/>
      <c r="L81" s="148"/>
      <c r="M81" s="152"/>
    </row>
    <row r="82" spans="1:13" x14ac:dyDescent="0.5">
      <c r="A82" s="290"/>
      <c r="B82" s="158"/>
      <c r="C82" s="148"/>
      <c r="D82" s="153"/>
      <c r="E82" s="154"/>
      <c r="F82" s="149"/>
      <c r="G82" s="155"/>
      <c r="H82" s="148"/>
      <c r="I82" s="148"/>
      <c r="J82" s="148"/>
      <c r="K82" s="148"/>
      <c r="L82" s="148"/>
      <c r="M82" s="152"/>
    </row>
    <row r="83" spans="1:13" x14ac:dyDescent="0.5">
      <c r="A83" s="290"/>
      <c r="B83" s="158"/>
      <c r="C83" s="148"/>
      <c r="D83" s="153"/>
      <c r="E83" s="154"/>
      <c r="F83" s="149"/>
      <c r="G83" s="155"/>
      <c r="H83" s="148"/>
      <c r="I83" s="148"/>
      <c r="J83" s="148"/>
      <c r="K83" s="148"/>
      <c r="L83" s="148"/>
      <c r="M83" s="152"/>
    </row>
    <row r="84" spans="1:13" x14ac:dyDescent="0.5">
      <c r="A84" s="290"/>
      <c r="B84" s="158"/>
      <c r="C84" s="148"/>
      <c r="D84" s="153"/>
      <c r="E84" s="154"/>
      <c r="F84" s="149"/>
      <c r="G84" s="155"/>
      <c r="H84" s="148"/>
      <c r="I84" s="148"/>
      <c r="J84" s="148"/>
      <c r="K84" s="148"/>
      <c r="L84" s="148"/>
      <c r="M84" s="152"/>
    </row>
    <row r="85" spans="1:13" x14ac:dyDescent="0.5">
      <c r="A85" s="290"/>
      <c r="B85" s="158"/>
      <c r="C85" s="148"/>
      <c r="D85" s="153"/>
      <c r="E85" s="154"/>
      <c r="F85" s="149"/>
      <c r="G85" s="155"/>
      <c r="H85" s="148"/>
      <c r="I85" s="148"/>
      <c r="J85" s="148"/>
      <c r="K85" s="148"/>
      <c r="L85" s="148"/>
      <c r="M85" s="152"/>
    </row>
    <row r="86" spans="1:13" x14ac:dyDescent="0.5">
      <c r="A86" s="290"/>
      <c r="B86" s="158"/>
      <c r="C86" s="148"/>
      <c r="D86" s="153"/>
      <c r="E86" s="154"/>
      <c r="F86" s="149"/>
      <c r="G86" s="155"/>
      <c r="H86" s="148"/>
      <c r="I86" s="148"/>
      <c r="J86" s="148"/>
      <c r="K86" s="148"/>
      <c r="L86" s="148"/>
      <c r="M86" s="152"/>
    </row>
    <row r="87" spans="1:13" x14ac:dyDescent="0.5">
      <c r="A87" s="290"/>
      <c r="B87" s="158"/>
      <c r="C87" s="148"/>
      <c r="D87" s="153"/>
      <c r="E87" s="154"/>
      <c r="F87" s="149"/>
      <c r="G87" s="155"/>
      <c r="H87" s="148"/>
      <c r="I87" s="148"/>
      <c r="J87" s="148"/>
      <c r="K87" s="148"/>
      <c r="L87" s="148"/>
      <c r="M87" s="152"/>
    </row>
    <row r="88" spans="1:13" x14ac:dyDescent="0.5">
      <c r="A88" s="290"/>
      <c r="B88" s="158"/>
      <c r="C88" s="148"/>
      <c r="D88" s="153"/>
      <c r="E88" s="154"/>
      <c r="F88" s="149"/>
      <c r="G88" s="155"/>
      <c r="H88" s="148"/>
      <c r="I88" s="148"/>
      <c r="J88" s="148"/>
      <c r="K88" s="148"/>
      <c r="L88" s="148"/>
      <c r="M88" s="152"/>
    </row>
    <row r="89" spans="1:13" x14ac:dyDescent="0.5">
      <c r="A89" s="290"/>
      <c r="B89" s="158"/>
      <c r="C89" s="148"/>
      <c r="D89" s="153"/>
      <c r="E89" s="154"/>
      <c r="F89" s="149"/>
      <c r="G89" s="155"/>
      <c r="H89" s="148"/>
      <c r="I89" s="148"/>
      <c r="J89" s="148"/>
      <c r="K89" s="148"/>
      <c r="L89" s="148"/>
      <c r="M89" s="152"/>
    </row>
    <row r="90" spans="1:13" x14ac:dyDescent="0.5">
      <c r="A90" s="290"/>
      <c r="B90" s="158"/>
      <c r="C90" s="148"/>
      <c r="D90" s="153"/>
      <c r="E90" s="154"/>
      <c r="F90" s="149"/>
      <c r="G90" s="155"/>
      <c r="H90" s="148"/>
      <c r="I90" s="148"/>
      <c r="J90" s="148"/>
      <c r="K90" s="148"/>
      <c r="L90" s="148"/>
      <c r="M90" s="152"/>
    </row>
    <row r="91" spans="1:13" x14ac:dyDescent="0.5">
      <c r="A91" s="290"/>
      <c r="B91" s="158"/>
      <c r="C91" s="148"/>
      <c r="D91" s="153"/>
      <c r="E91" s="154"/>
      <c r="F91" s="149"/>
      <c r="G91" s="155"/>
      <c r="H91" s="148"/>
      <c r="I91" s="148"/>
      <c r="J91" s="148"/>
      <c r="K91" s="148"/>
      <c r="L91" s="148"/>
      <c r="M91" s="152"/>
    </row>
    <row r="92" spans="1:13" x14ac:dyDescent="0.5">
      <c r="A92" s="290"/>
      <c r="B92" s="158"/>
      <c r="C92" s="148"/>
      <c r="D92" s="153"/>
      <c r="E92" s="154"/>
      <c r="F92" s="149"/>
      <c r="G92" s="155"/>
      <c r="H92" s="148"/>
      <c r="I92" s="148"/>
      <c r="J92" s="148"/>
      <c r="K92" s="148"/>
      <c r="L92" s="148"/>
      <c r="M92" s="152"/>
    </row>
    <row r="93" spans="1:13" x14ac:dyDescent="0.5">
      <c r="A93" s="290"/>
      <c r="B93" s="158"/>
      <c r="C93" s="148"/>
      <c r="D93" s="153"/>
      <c r="E93" s="154"/>
      <c r="F93" s="149"/>
      <c r="G93" s="155"/>
      <c r="H93" s="148"/>
      <c r="I93" s="148"/>
      <c r="J93" s="148"/>
      <c r="K93" s="148"/>
      <c r="L93" s="148"/>
      <c r="M93" s="152"/>
    </row>
    <row r="94" spans="1:13" x14ac:dyDescent="0.5">
      <c r="A94" s="290"/>
      <c r="B94" s="158"/>
      <c r="C94" s="148"/>
      <c r="D94" s="153"/>
      <c r="E94" s="154"/>
      <c r="F94" s="149"/>
      <c r="G94" s="155"/>
      <c r="H94" s="148"/>
      <c r="I94" s="148"/>
      <c r="J94" s="148"/>
      <c r="K94" s="148"/>
      <c r="L94" s="148"/>
      <c r="M94" s="152"/>
    </row>
    <row r="95" spans="1:13" x14ac:dyDescent="0.5">
      <c r="A95" s="290"/>
      <c r="B95" s="158"/>
      <c r="C95" s="148"/>
      <c r="D95" s="153"/>
      <c r="E95" s="154"/>
      <c r="F95" s="149"/>
      <c r="G95" s="155"/>
      <c r="H95" s="148"/>
      <c r="I95" s="148"/>
      <c r="J95" s="148"/>
      <c r="K95" s="148"/>
      <c r="L95" s="148"/>
      <c r="M95" s="152"/>
    </row>
    <row r="96" spans="1:13" x14ac:dyDescent="0.5">
      <c r="A96" s="290"/>
      <c r="B96" s="158"/>
      <c r="C96" s="148"/>
      <c r="D96" s="153"/>
      <c r="E96" s="154"/>
      <c r="F96" s="149"/>
      <c r="G96" s="155"/>
      <c r="H96" s="148"/>
      <c r="I96" s="148"/>
      <c r="J96" s="148"/>
      <c r="K96" s="148"/>
      <c r="L96" s="148"/>
      <c r="M96" s="152"/>
    </row>
    <row r="97" spans="1:13" x14ac:dyDescent="0.5">
      <c r="A97" s="290"/>
      <c r="B97" s="42"/>
      <c r="C97" s="148"/>
      <c r="D97" s="153"/>
      <c r="E97" s="154"/>
      <c r="F97" s="149"/>
      <c r="G97" s="155"/>
      <c r="H97" s="148"/>
      <c r="I97" s="148"/>
      <c r="J97" s="148"/>
      <c r="K97" s="148"/>
      <c r="L97" s="148"/>
      <c r="M97" s="152"/>
    </row>
    <row r="98" spans="1:13" x14ac:dyDescent="0.5">
      <c r="A98" s="290"/>
      <c r="B98" s="42"/>
      <c r="C98" s="148"/>
      <c r="D98" s="153"/>
      <c r="E98" s="154"/>
      <c r="F98" s="149"/>
      <c r="G98" s="155"/>
      <c r="H98" s="148"/>
      <c r="I98" s="148"/>
      <c r="J98" s="148"/>
      <c r="K98" s="148"/>
      <c r="L98" s="148"/>
      <c r="M98" s="152"/>
    </row>
    <row r="99" spans="1:13" x14ac:dyDescent="0.5">
      <c r="A99" s="290"/>
      <c r="B99" s="42"/>
      <c r="C99" s="148"/>
      <c r="D99" s="153"/>
      <c r="E99" s="154"/>
      <c r="F99" s="149"/>
      <c r="G99" s="155"/>
      <c r="H99" s="148"/>
      <c r="I99" s="148"/>
      <c r="J99" s="148"/>
      <c r="K99" s="148"/>
      <c r="L99" s="148"/>
      <c r="M99" s="152"/>
    </row>
    <row r="100" spans="1:13" x14ac:dyDescent="0.5">
      <c r="A100" s="290"/>
      <c r="B100" s="42"/>
      <c r="C100" s="148"/>
      <c r="D100" s="153"/>
      <c r="E100" s="154"/>
      <c r="F100" s="149"/>
      <c r="G100" s="155"/>
      <c r="H100" s="148"/>
      <c r="I100" s="148"/>
      <c r="J100" s="148"/>
      <c r="K100" s="148"/>
      <c r="L100" s="148"/>
      <c r="M100" s="152"/>
    </row>
    <row r="101" spans="1:13" x14ac:dyDescent="0.5">
      <c r="A101" s="290"/>
      <c r="B101" s="42"/>
      <c r="C101" s="148"/>
      <c r="D101" s="153"/>
      <c r="E101" s="154"/>
      <c r="F101" s="149"/>
      <c r="G101" s="155"/>
      <c r="H101" s="148"/>
      <c r="I101" s="148"/>
      <c r="J101" s="148"/>
      <c r="K101" s="148"/>
      <c r="L101" s="148"/>
      <c r="M101" s="152"/>
    </row>
    <row r="102" spans="1:13" x14ac:dyDescent="0.5">
      <c r="A102" s="290"/>
      <c r="B102" s="42"/>
      <c r="C102" s="148"/>
      <c r="D102" s="153"/>
      <c r="E102" s="154"/>
      <c r="F102" s="149"/>
      <c r="G102" s="155"/>
      <c r="H102" s="148"/>
      <c r="I102" s="148"/>
      <c r="J102" s="148"/>
      <c r="K102" s="148"/>
      <c r="L102" s="148"/>
      <c r="M102" s="152"/>
    </row>
    <row r="103" spans="1:13" x14ac:dyDescent="0.5">
      <c r="A103" s="290"/>
      <c r="B103" s="42"/>
      <c r="C103" s="148"/>
      <c r="D103" s="153"/>
      <c r="E103" s="154"/>
      <c r="F103" s="149"/>
      <c r="G103" s="155"/>
      <c r="H103" s="148"/>
      <c r="I103" s="148"/>
      <c r="J103" s="148"/>
      <c r="K103" s="148"/>
      <c r="L103" s="148"/>
      <c r="M103" s="152"/>
    </row>
    <row r="104" spans="1:13" x14ac:dyDescent="0.5">
      <c r="A104" s="290"/>
      <c r="B104" s="42"/>
      <c r="C104" s="148"/>
      <c r="D104" s="153"/>
      <c r="E104" s="154"/>
      <c r="F104" s="149"/>
      <c r="G104" s="155"/>
      <c r="H104" s="148"/>
      <c r="I104" s="148"/>
      <c r="J104" s="148"/>
      <c r="K104" s="148"/>
      <c r="L104" s="148"/>
      <c r="M104" s="152"/>
    </row>
    <row r="105" spans="1:13" x14ac:dyDescent="0.5">
      <c r="A105" s="290"/>
      <c r="B105" s="42"/>
      <c r="C105" s="148"/>
      <c r="D105" s="153"/>
      <c r="E105" s="154"/>
      <c r="F105" s="149"/>
      <c r="G105" s="148"/>
      <c r="H105" s="148"/>
      <c r="I105" s="148"/>
      <c r="J105" s="148"/>
      <c r="K105" s="148"/>
      <c r="L105" s="148"/>
      <c r="M105" s="152"/>
    </row>
    <row r="106" spans="1:13" x14ac:dyDescent="0.5">
      <c r="A106" s="290"/>
      <c r="B106" s="42"/>
      <c r="C106" s="148"/>
      <c r="D106" s="153"/>
      <c r="E106" s="154"/>
      <c r="F106" s="149"/>
      <c r="G106" s="148"/>
      <c r="H106" s="148"/>
      <c r="I106" s="148"/>
      <c r="J106" s="148"/>
      <c r="K106" s="148"/>
      <c r="L106" s="148"/>
      <c r="M106" s="152"/>
    </row>
    <row r="107" spans="1:13" x14ac:dyDescent="0.5">
      <c r="A107" s="290"/>
      <c r="B107" s="42"/>
      <c r="C107" s="148"/>
      <c r="D107" s="153"/>
      <c r="E107" s="154"/>
      <c r="F107" s="149"/>
      <c r="G107" s="148"/>
      <c r="H107" s="148"/>
      <c r="I107" s="148"/>
      <c r="J107" s="148"/>
      <c r="K107" s="148"/>
      <c r="L107" s="148"/>
      <c r="M107" s="152"/>
    </row>
    <row r="108" spans="1:13" x14ac:dyDescent="0.5">
      <c r="A108" s="290"/>
      <c r="B108" s="42"/>
      <c r="C108" s="148"/>
      <c r="D108" s="153"/>
      <c r="E108" s="154"/>
      <c r="F108" s="149"/>
      <c r="G108" s="148"/>
      <c r="H108" s="148"/>
      <c r="I108" s="148"/>
      <c r="J108" s="148"/>
      <c r="K108" s="148"/>
      <c r="L108" s="148"/>
      <c r="M108" s="152"/>
    </row>
    <row r="109" spans="1:13" x14ac:dyDescent="0.5">
      <c r="A109" s="290"/>
      <c r="B109" s="42"/>
      <c r="C109" s="148"/>
      <c r="D109" s="153"/>
      <c r="E109" s="154"/>
      <c r="F109" s="149"/>
      <c r="G109" s="148"/>
      <c r="H109" s="148"/>
      <c r="I109" s="148"/>
      <c r="J109" s="148"/>
      <c r="K109" s="148"/>
      <c r="L109" s="148"/>
      <c r="M109" s="152"/>
    </row>
    <row r="110" spans="1:13" x14ac:dyDescent="0.5">
      <c r="A110" s="290"/>
      <c r="B110" s="42"/>
      <c r="C110" s="148"/>
      <c r="D110" s="153"/>
      <c r="E110" s="154"/>
      <c r="F110" s="149"/>
      <c r="G110" s="148"/>
      <c r="H110" s="148"/>
      <c r="I110" s="148"/>
      <c r="J110" s="148"/>
      <c r="K110" s="148"/>
      <c r="L110" s="148"/>
      <c r="M110" s="152"/>
    </row>
    <row r="111" spans="1:13" x14ac:dyDescent="0.5">
      <c r="A111" s="290"/>
      <c r="B111" s="42"/>
      <c r="C111" s="148"/>
      <c r="D111" s="153"/>
      <c r="E111" s="154"/>
      <c r="F111" s="149"/>
      <c r="G111" s="148"/>
      <c r="H111" s="148"/>
      <c r="I111" s="148"/>
      <c r="J111" s="148"/>
      <c r="K111" s="148"/>
      <c r="L111" s="148"/>
      <c r="M111" s="152"/>
    </row>
    <row r="112" spans="1:13" x14ac:dyDescent="0.5">
      <c r="A112" s="290"/>
      <c r="B112" s="42"/>
      <c r="C112" s="148"/>
      <c r="D112" s="153"/>
      <c r="E112" s="154"/>
      <c r="F112" s="149"/>
      <c r="G112" s="148"/>
      <c r="H112" s="148"/>
      <c r="I112" s="148"/>
      <c r="J112" s="148"/>
      <c r="K112" s="148"/>
      <c r="L112" s="148"/>
      <c r="M112" s="152"/>
    </row>
    <row r="113" spans="1:13" x14ac:dyDescent="0.5">
      <c r="A113" s="290"/>
      <c r="B113" s="42"/>
      <c r="C113" s="148"/>
      <c r="D113" s="153"/>
      <c r="E113" s="154"/>
      <c r="F113" s="149"/>
      <c r="G113" s="148"/>
      <c r="H113" s="148"/>
      <c r="I113" s="148"/>
      <c r="J113" s="148"/>
      <c r="K113" s="148"/>
      <c r="L113" s="148"/>
      <c r="M113" s="152"/>
    </row>
    <row r="114" spans="1:13" x14ac:dyDescent="0.5">
      <c r="A114" s="290"/>
      <c r="B114" s="42"/>
      <c r="C114" s="148"/>
      <c r="D114" s="153"/>
      <c r="E114" s="154"/>
      <c r="F114" s="149"/>
      <c r="G114" s="148"/>
      <c r="H114" s="148"/>
      <c r="I114" s="148"/>
      <c r="J114" s="148"/>
      <c r="K114" s="148"/>
      <c r="L114" s="148"/>
      <c r="M114" s="152"/>
    </row>
    <row r="115" spans="1:13" x14ac:dyDescent="0.5">
      <c r="A115" s="290"/>
      <c r="B115" s="42"/>
      <c r="C115" s="148"/>
      <c r="D115" s="153"/>
      <c r="E115" s="154"/>
      <c r="F115" s="149"/>
      <c r="G115" s="148"/>
      <c r="H115" s="148"/>
      <c r="I115" s="148"/>
      <c r="J115" s="148"/>
      <c r="K115" s="148"/>
      <c r="L115" s="148"/>
      <c r="M115" s="152"/>
    </row>
    <row r="116" spans="1:13" x14ac:dyDescent="0.5">
      <c r="A116" s="290"/>
      <c r="B116" s="42"/>
      <c r="C116" s="148"/>
      <c r="D116" s="153"/>
      <c r="E116" s="154"/>
      <c r="F116" s="149"/>
      <c r="G116" s="148"/>
      <c r="H116" s="148"/>
      <c r="I116" s="148"/>
      <c r="J116" s="148"/>
      <c r="K116" s="148"/>
      <c r="L116" s="148"/>
      <c r="M116" s="152"/>
    </row>
    <row r="117" spans="1:13" x14ac:dyDescent="0.5">
      <c r="A117" s="290"/>
      <c r="B117" s="42"/>
      <c r="C117" s="148"/>
      <c r="D117" s="153"/>
      <c r="E117" s="154"/>
      <c r="F117" s="149"/>
      <c r="G117" s="148"/>
      <c r="H117" s="148"/>
      <c r="I117" s="148"/>
      <c r="J117" s="148"/>
      <c r="K117" s="148"/>
      <c r="L117" s="148"/>
      <c r="M117" s="152"/>
    </row>
    <row r="118" spans="1:13" x14ac:dyDescent="0.5">
      <c r="A118" s="290"/>
      <c r="B118" s="42"/>
      <c r="C118" s="148"/>
      <c r="D118" s="153"/>
      <c r="E118" s="154"/>
      <c r="F118" s="149"/>
      <c r="G118" s="148"/>
      <c r="H118" s="148"/>
      <c r="I118" s="148"/>
      <c r="J118" s="148"/>
      <c r="K118" s="148"/>
      <c r="L118" s="148"/>
      <c r="M118" s="152"/>
    </row>
    <row r="119" spans="1:13" x14ac:dyDescent="0.5">
      <c r="A119" s="290"/>
      <c r="B119" s="42"/>
      <c r="C119" s="148"/>
      <c r="D119" s="153"/>
      <c r="E119" s="154"/>
      <c r="F119" s="149"/>
      <c r="G119" s="148"/>
      <c r="H119" s="148"/>
      <c r="I119" s="148"/>
      <c r="J119" s="148"/>
      <c r="K119" s="148"/>
      <c r="L119" s="148"/>
      <c r="M119" s="152"/>
    </row>
    <row r="120" spans="1:13" x14ac:dyDescent="0.5">
      <c r="A120" s="290"/>
      <c r="B120" s="42"/>
      <c r="C120" s="148"/>
      <c r="D120" s="153"/>
      <c r="E120" s="154"/>
      <c r="F120" s="149"/>
      <c r="G120" s="148"/>
      <c r="H120" s="148"/>
      <c r="I120" s="148"/>
      <c r="J120" s="148"/>
      <c r="K120" s="148"/>
      <c r="L120" s="148"/>
      <c r="M120" s="152"/>
    </row>
    <row r="121" spans="1:13" x14ac:dyDescent="0.5">
      <c r="A121" s="290"/>
      <c r="B121" s="42"/>
      <c r="C121" s="148"/>
      <c r="D121" s="153"/>
      <c r="E121" s="154"/>
      <c r="F121" s="149"/>
      <c r="G121" s="148"/>
      <c r="H121" s="148"/>
      <c r="I121" s="148"/>
      <c r="J121" s="148"/>
      <c r="K121" s="148"/>
      <c r="L121" s="148"/>
      <c r="M121" s="152"/>
    </row>
    <row r="122" spans="1:13" x14ac:dyDescent="0.5">
      <c r="A122" s="290"/>
      <c r="B122" s="42"/>
      <c r="C122" s="148"/>
      <c r="D122" s="153"/>
      <c r="E122" s="154"/>
      <c r="F122" s="149"/>
      <c r="G122" s="148"/>
      <c r="H122" s="148"/>
      <c r="I122" s="148"/>
      <c r="J122" s="148"/>
      <c r="K122" s="148"/>
      <c r="L122" s="148"/>
      <c r="M122" s="152"/>
    </row>
    <row r="123" spans="1:13" x14ac:dyDescent="0.5">
      <c r="A123" s="290"/>
      <c r="B123" s="42"/>
      <c r="C123" s="148"/>
      <c r="D123" s="153"/>
      <c r="E123" s="154"/>
      <c r="F123" s="149"/>
      <c r="G123" s="148"/>
      <c r="H123" s="148"/>
      <c r="I123" s="148"/>
      <c r="J123" s="148"/>
      <c r="K123" s="148"/>
      <c r="L123" s="148"/>
      <c r="M123" s="152"/>
    </row>
    <row r="124" spans="1:13" x14ac:dyDescent="0.5">
      <c r="A124" s="290"/>
      <c r="B124" s="42"/>
      <c r="C124" s="148"/>
      <c r="D124" s="153"/>
      <c r="E124" s="154"/>
      <c r="F124" s="149"/>
      <c r="G124" s="148"/>
      <c r="H124" s="148"/>
      <c r="I124" s="148"/>
      <c r="J124" s="148"/>
      <c r="K124" s="148"/>
      <c r="L124" s="148"/>
      <c r="M124" s="152"/>
    </row>
    <row r="125" spans="1:13" x14ac:dyDescent="0.5">
      <c r="A125" s="290"/>
      <c r="B125" s="42"/>
      <c r="C125" s="148"/>
      <c r="D125" s="153"/>
      <c r="E125" s="154"/>
      <c r="F125" s="149"/>
      <c r="G125" s="148"/>
      <c r="H125" s="148"/>
      <c r="I125" s="148"/>
      <c r="J125" s="148"/>
      <c r="K125" s="148"/>
      <c r="L125" s="148"/>
      <c r="M125" s="152"/>
    </row>
    <row r="126" spans="1:13" x14ac:dyDescent="0.5">
      <c r="A126" s="290"/>
      <c r="B126" s="42"/>
      <c r="C126" s="148"/>
      <c r="D126" s="153"/>
      <c r="E126" s="154"/>
      <c r="F126" s="149"/>
      <c r="G126" s="148"/>
      <c r="H126" s="148"/>
      <c r="I126" s="148"/>
      <c r="J126" s="148"/>
      <c r="K126" s="148"/>
      <c r="L126" s="148"/>
      <c r="M126" s="152"/>
    </row>
    <row r="127" spans="1:13" x14ac:dyDescent="0.5">
      <c r="A127" s="290"/>
      <c r="B127" s="42"/>
      <c r="C127" s="148"/>
      <c r="D127" s="153"/>
      <c r="E127" s="154"/>
      <c r="F127" s="149"/>
      <c r="G127" s="148"/>
      <c r="H127" s="148"/>
      <c r="I127" s="148"/>
      <c r="J127" s="148"/>
      <c r="K127" s="148"/>
      <c r="L127" s="148"/>
      <c r="M127" s="152"/>
    </row>
    <row r="128" spans="1:13" x14ac:dyDescent="0.5">
      <c r="A128" s="290"/>
      <c r="B128" s="42"/>
      <c r="C128" s="148"/>
      <c r="D128" s="153"/>
      <c r="E128" s="154"/>
      <c r="F128" s="149"/>
      <c r="G128" s="148"/>
      <c r="H128" s="148"/>
      <c r="I128" s="148"/>
      <c r="J128" s="148"/>
      <c r="K128" s="148"/>
      <c r="L128" s="148"/>
      <c r="M128" s="152"/>
    </row>
    <row r="129" spans="1:13" x14ac:dyDescent="0.5">
      <c r="A129" s="290"/>
      <c r="B129" s="42"/>
      <c r="C129" s="148"/>
      <c r="D129" s="153"/>
      <c r="E129" s="154"/>
      <c r="F129" s="149"/>
      <c r="G129" s="148"/>
      <c r="H129" s="148"/>
      <c r="I129" s="148"/>
      <c r="J129" s="148"/>
      <c r="K129" s="148"/>
      <c r="L129" s="148"/>
      <c r="M129" s="152"/>
    </row>
    <row r="130" spans="1:13" x14ac:dyDescent="0.5">
      <c r="A130" s="290"/>
      <c r="B130" s="42"/>
      <c r="C130" s="148"/>
      <c r="D130" s="153"/>
      <c r="E130" s="154"/>
      <c r="F130" s="149"/>
      <c r="G130" s="148"/>
      <c r="H130" s="148"/>
      <c r="I130" s="148"/>
      <c r="J130" s="148"/>
      <c r="K130" s="148"/>
      <c r="L130" s="148"/>
      <c r="M130" s="152"/>
    </row>
    <row r="131" spans="1:13" x14ac:dyDescent="0.5">
      <c r="A131" s="290"/>
      <c r="B131" s="42"/>
      <c r="C131" s="148"/>
      <c r="D131" s="153"/>
      <c r="E131" s="154"/>
      <c r="F131" s="149"/>
      <c r="G131" s="148"/>
      <c r="H131" s="148"/>
      <c r="I131" s="148"/>
      <c r="J131" s="148"/>
      <c r="K131" s="148"/>
      <c r="L131" s="148"/>
      <c r="M131" s="152"/>
    </row>
    <row r="132" spans="1:13" x14ac:dyDescent="0.5">
      <c r="A132" s="290"/>
      <c r="B132" s="42"/>
      <c r="C132" s="148"/>
      <c r="D132" s="153"/>
      <c r="E132" s="154"/>
      <c r="F132" s="149"/>
      <c r="G132" s="148"/>
      <c r="H132" s="148"/>
      <c r="I132" s="148"/>
      <c r="J132" s="148"/>
      <c r="K132" s="148"/>
      <c r="L132" s="148"/>
      <c r="M132" s="152"/>
    </row>
    <row r="133" spans="1:13" x14ac:dyDescent="0.5">
      <c r="A133" s="290"/>
      <c r="B133" s="42"/>
      <c r="C133" s="148"/>
      <c r="D133" s="153"/>
      <c r="E133" s="154"/>
      <c r="F133" s="149"/>
      <c r="G133" s="148"/>
      <c r="H133" s="148"/>
      <c r="I133" s="148"/>
      <c r="J133" s="148"/>
      <c r="K133" s="148"/>
      <c r="L133" s="148"/>
      <c r="M133" s="152"/>
    </row>
    <row r="134" spans="1:13" x14ac:dyDescent="0.5">
      <c r="A134" s="290"/>
      <c r="B134" s="42"/>
      <c r="C134" s="148"/>
      <c r="D134" s="153"/>
      <c r="E134" s="154"/>
      <c r="F134" s="149"/>
      <c r="G134" s="148"/>
      <c r="H134" s="148"/>
      <c r="I134" s="148"/>
      <c r="J134" s="148"/>
      <c r="K134" s="148"/>
      <c r="L134" s="148"/>
      <c r="M134" s="152"/>
    </row>
    <row r="135" spans="1:13" x14ac:dyDescent="0.5">
      <c r="A135" s="290"/>
      <c r="B135" s="42"/>
      <c r="C135" s="148"/>
      <c r="D135" s="153"/>
      <c r="E135" s="154"/>
      <c r="F135" s="149"/>
      <c r="G135" s="148"/>
      <c r="H135" s="148"/>
      <c r="I135" s="148"/>
      <c r="J135" s="148"/>
      <c r="K135" s="148"/>
      <c r="L135" s="148"/>
      <c r="M135" s="152"/>
    </row>
    <row r="136" spans="1:13" x14ac:dyDescent="0.5">
      <c r="A136" s="290"/>
      <c r="B136" s="42"/>
      <c r="C136" s="148"/>
      <c r="D136" s="153"/>
      <c r="E136" s="154"/>
      <c r="F136" s="149"/>
      <c r="G136" s="148"/>
      <c r="H136" s="148"/>
      <c r="I136" s="148"/>
      <c r="J136" s="148"/>
      <c r="K136" s="148"/>
      <c r="L136" s="148"/>
      <c r="M136" s="152"/>
    </row>
    <row r="137" spans="1:13" x14ac:dyDescent="0.5">
      <c r="A137" s="290"/>
      <c r="B137" s="42"/>
      <c r="C137" s="148"/>
      <c r="D137" s="153"/>
      <c r="E137" s="154"/>
      <c r="F137" s="149"/>
      <c r="G137" s="148"/>
      <c r="H137" s="148"/>
      <c r="I137" s="148"/>
      <c r="J137" s="148"/>
      <c r="K137" s="148"/>
      <c r="L137" s="148"/>
      <c r="M137" s="152"/>
    </row>
    <row r="138" spans="1:13" x14ac:dyDescent="0.5">
      <c r="A138" s="290"/>
      <c r="B138" s="42"/>
      <c r="C138" s="148"/>
      <c r="D138" s="153"/>
      <c r="E138" s="154"/>
      <c r="F138" s="149"/>
      <c r="G138" s="148"/>
      <c r="H138" s="148"/>
      <c r="I138" s="148"/>
      <c r="J138" s="148"/>
      <c r="K138" s="148"/>
      <c r="L138" s="148"/>
      <c r="M138" s="152"/>
    </row>
    <row r="139" spans="1:13" x14ac:dyDescent="0.5">
      <c r="A139" s="290"/>
      <c r="B139" s="42"/>
      <c r="C139" s="148"/>
      <c r="D139" s="153"/>
      <c r="E139" s="154"/>
      <c r="F139" s="149"/>
      <c r="G139" s="148"/>
      <c r="H139" s="148"/>
      <c r="I139" s="148"/>
      <c r="J139" s="148"/>
      <c r="K139" s="148"/>
      <c r="L139" s="148"/>
      <c r="M139" s="152"/>
    </row>
    <row r="140" spans="1:13" x14ac:dyDescent="0.5">
      <c r="A140" s="290"/>
      <c r="B140" s="42"/>
      <c r="C140" s="148"/>
      <c r="D140" s="153"/>
      <c r="E140" s="154"/>
      <c r="F140" s="149"/>
      <c r="G140" s="148"/>
      <c r="H140" s="148"/>
      <c r="I140" s="148"/>
      <c r="J140" s="148"/>
      <c r="K140" s="148"/>
      <c r="L140" s="148"/>
      <c r="M140" s="152"/>
    </row>
    <row r="141" spans="1:13" x14ac:dyDescent="0.5">
      <c r="A141" s="290"/>
      <c r="B141" s="42"/>
      <c r="C141" s="148"/>
      <c r="D141" s="153"/>
      <c r="E141" s="154"/>
      <c r="F141" s="149"/>
      <c r="G141" s="148"/>
      <c r="H141" s="148"/>
      <c r="I141" s="148"/>
      <c r="J141" s="148"/>
      <c r="K141" s="148"/>
      <c r="L141" s="148"/>
      <c r="M141" s="152"/>
    </row>
    <row r="142" spans="1:13" x14ac:dyDescent="0.5">
      <c r="A142" s="290"/>
      <c r="B142" s="42"/>
      <c r="C142" s="148"/>
      <c r="D142" s="153"/>
      <c r="E142" s="154"/>
      <c r="F142" s="149"/>
      <c r="G142" s="148"/>
      <c r="H142" s="148"/>
      <c r="I142" s="148"/>
      <c r="J142" s="148"/>
      <c r="K142" s="148"/>
      <c r="L142" s="148"/>
      <c r="M142" s="152"/>
    </row>
    <row r="143" spans="1:13" x14ac:dyDescent="0.5">
      <c r="A143" s="290"/>
      <c r="B143" s="42"/>
      <c r="C143" s="148"/>
      <c r="D143" s="153"/>
      <c r="E143" s="154"/>
      <c r="F143" s="149"/>
      <c r="G143" s="148"/>
      <c r="H143" s="148"/>
      <c r="I143" s="148"/>
      <c r="J143" s="148"/>
      <c r="K143" s="148"/>
      <c r="L143" s="148"/>
      <c r="M143" s="152"/>
    </row>
    <row r="144" spans="1:13" x14ac:dyDescent="0.5">
      <c r="A144" s="290"/>
      <c r="B144" s="42"/>
      <c r="C144" s="148"/>
      <c r="D144" s="153"/>
      <c r="E144" s="154"/>
      <c r="F144" s="149"/>
      <c r="G144" s="148"/>
      <c r="H144" s="148"/>
      <c r="I144" s="148"/>
      <c r="J144" s="148"/>
      <c r="K144" s="148"/>
      <c r="L144" s="148"/>
      <c r="M144" s="152"/>
    </row>
    <row r="145" spans="1:13" x14ac:dyDescent="0.5">
      <c r="A145" s="290"/>
      <c r="B145" s="42"/>
      <c r="C145" s="148"/>
      <c r="D145" s="153"/>
      <c r="E145" s="154"/>
      <c r="F145" s="149"/>
      <c r="G145" s="148"/>
      <c r="H145" s="148"/>
      <c r="I145" s="148"/>
      <c r="J145" s="148"/>
      <c r="K145" s="148"/>
      <c r="L145" s="148"/>
      <c r="M145" s="152"/>
    </row>
    <row r="146" spans="1:13" x14ac:dyDescent="0.5">
      <c r="A146" s="290"/>
      <c r="B146" s="42"/>
      <c r="C146" s="148"/>
      <c r="D146" s="153"/>
      <c r="E146" s="154"/>
      <c r="F146" s="149"/>
      <c r="G146" s="148"/>
      <c r="H146" s="148"/>
      <c r="I146" s="148"/>
      <c r="J146" s="148"/>
      <c r="K146" s="148"/>
      <c r="L146" s="148"/>
      <c r="M146" s="152"/>
    </row>
    <row r="147" spans="1:13" x14ac:dyDescent="0.5">
      <c r="A147" s="290"/>
      <c r="B147" s="42"/>
      <c r="C147" s="148"/>
      <c r="D147" s="153"/>
      <c r="E147" s="154"/>
      <c r="F147" s="149"/>
      <c r="G147" s="148"/>
      <c r="H147" s="148"/>
      <c r="I147" s="148"/>
      <c r="J147" s="148"/>
      <c r="K147" s="148"/>
      <c r="L147" s="148"/>
      <c r="M147" s="152"/>
    </row>
    <row r="148" spans="1:13" x14ac:dyDescent="0.5">
      <c r="A148" s="290"/>
      <c r="B148" s="42"/>
      <c r="C148" s="148"/>
      <c r="D148" s="153"/>
      <c r="E148" s="154"/>
      <c r="F148" s="149"/>
      <c r="G148" s="148"/>
      <c r="H148" s="148"/>
      <c r="I148" s="148"/>
      <c r="J148" s="148"/>
      <c r="K148" s="148"/>
      <c r="L148" s="148"/>
      <c r="M148" s="152"/>
    </row>
    <row r="149" spans="1:13" x14ac:dyDescent="0.5">
      <c r="A149" s="290"/>
      <c r="B149" s="42"/>
      <c r="C149" s="148"/>
      <c r="D149" s="153"/>
      <c r="E149" s="154"/>
      <c r="F149" s="149"/>
      <c r="G149" s="148"/>
      <c r="H149" s="148"/>
      <c r="I149" s="148"/>
      <c r="J149" s="148"/>
      <c r="K149" s="148"/>
      <c r="L149" s="148"/>
      <c r="M149" s="152"/>
    </row>
    <row r="150" spans="1:13" x14ac:dyDescent="0.5">
      <c r="A150" s="290"/>
      <c r="B150" s="42"/>
      <c r="C150" s="148"/>
      <c r="D150" s="153"/>
      <c r="E150" s="154"/>
      <c r="F150" s="149"/>
      <c r="G150" s="148"/>
      <c r="H150" s="148"/>
      <c r="I150" s="148"/>
      <c r="J150" s="148"/>
      <c r="K150" s="148"/>
      <c r="L150" s="148"/>
      <c r="M150" s="152"/>
    </row>
    <row r="151" spans="1:13" x14ac:dyDescent="0.5">
      <c r="A151" s="290"/>
      <c r="B151" s="42"/>
      <c r="C151" s="148"/>
      <c r="D151" s="153"/>
      <c r="E151" s="154"/>
      <c r="F151" s="149"/>
      <c r="G151" s="148"/>
      <c r="H151" s="148"/>
      <c r="I151" s="148"/>
      <c r="J151" s="148"/>
      <c r="K151" s="148"/>
      <c r="L151" s="148"/>
      <c r="M151" s="152"/>
    </row>
    <row r="152" spans="1:13" x14ac:dyDescent="0.5">
      <c r="A152" s="290"/>
      <c r="B152" s="42"/>
      <c r="C152" s="148"/>
      <c r="D152" s="153"/>
      <c r="E152" s="154"/>
      <c r="F152" s="149"/>
      <c r="G152" s="148"/>
      <c r="H152" s="148"/>
      <c r="I152" s="148"/>
      <c r="J152" s="148"/>
      <c r="K152" s="148"/>
      <c r="L152" s="148"/>
      <c r="M152" s="152"/>
    </row>
    <row r="153" spans="1:13" x14ac:dyDescent="0.5">
      <c r="A153" s="290"/>
      <c r="B153" s="42"/>
      <c r="C153" s="148"/>
      <c r="D153" s="153"/>
      <c r="E153" s="154"/>
      <c r="F153" s="149"/>
      <c r="G153" s="148"/>
      <c r="H153" s="148"/>
      <c r="I153" s="148"/>
      <c r="J153" s="148"/>
      <c r="K153" s="148"/>
      <c r="L153" s="148"/>
      <c r="M153" s="152"/>
    </row>
    <row r="154" spans="1:13" x14ac:dyDescent="0.5">
      <c r="A154" s="290"/>
      <c r="B154" s="42"/>
      <c r="C154" s="148"/>
      <c r="D154" s="153"/>
      <c r="E154" s="154"/>
      <c r="F154" s="149"/>
      <c r="G154" s="148"/>
      <c r="H154" s="148"/>
      <c r="I154" s="148"/>
      <c r="J154" s="148"/>
      <c r="K154" s="148"/>
      <c r="L154" s="148"/>
      <c r="M154" s="152"/>
    </row>
    <row r="155" spans="1:13" x14ac:dyDescent="0.5">
      <c r="A155" s="290"/>
      <c r="B155" s="42"/>
      <c r="C155" s="148"/>
      <c r="D155" s="153"/>
      <c r="E155" s="154"/>
      <c r="F155" s="149"/>
      <c r="G155" s="148"/>
      <c r="H155" s="148"/>
      <c r="I155" s="148"/>
      <c r="J155" s="148"/>
      <c r="K155" s="148"/>
      <c r="L155" s="148"/>
      <c r="M155" s="152"/>
    </row>
    <row r="156" spans="1:13" x14ac:dyDescent="0.5">
      <c r="A156" s="290"/>
      <c r="B156" s="42"/>
      <c r="C156" s="148"/>
      <c r="D156" s="153"/>
      <c r="E156" s="154"/>
      <c r="F156" s="149"/>
      <c r="G156" s="148"/>
      <c r="H156" s="148"/>
      <c r="I156" s="148"/>
      <c r="J156" s="148"/>
      <c r="K156" s="148"/>
      <c r="L156" s="148"/>
      <c r="M156" s="152"/>
    </row>
    <row r="157" spans="1:13" x14ac:dyDescent="0.5">
      <c r="A157" s="290"/>
      <c r="B157" s="42"/>
      <c r="C157" s="148"/>
      <c r="D157" s="153"/>
      <c r="E157" s="154"/>
      <c r="F157" s="149"/>
      <c r="G157" s="148"/>
      <c r="H157" s="148"/>
      <c r="I157" s="148"/>
      <c r="J157" s="148"/>
      <c r="K157" s="148"/>
      <c r="L157" s="148"/>
      <c r="M157" s="148"/>
    </row>
    <row r="158" spans="1:13" x14ac:dyDescent="0.5">
      <c r="A158" s="290"/>
      <c r="B158" s="42"/>
      <c r="C158" s="148"/>
      <c r="D158" s="153"/>
      <c r="E158" s="154"/>
      <c r="F158" s="149"/>
      <c r="G158" s="148"/>
      <c r="H158" s="148"/>
      <c r="I158" s="148"/>
      <c r="J158" s="148"/>
      <c r="K158" s="148"/>
      <c r="L158" s="148"/>
      <c r="M158" s="148"/>
    </row>
    <row r="159" spans="1:13" x14ac:dyDescent="0.5">
      <c r="A159" s="290"/>
      <c r="B159" s="42"/>
      <c r="C159" s="148"/>
      <c r="D159" s="153"/>
      <c r="E159" s="154"/>
      <c r="F159" s="149"/>
      <c r="G159" s="148"/>
      <c r="H159" s="148"/>
      <c r="I159" s="148"/>
      <c r="J159" s="148"/>
      <c r="K159" s="148"/>
      <c r="L159" s="148"/>
      <c r="M159" s="148"/>
    </row>
    <row r="160" spans="1:13" x14ac:dyDescent="0.5">
      <c r="A160" s="290"/>
      <c r="B160" s="42"/>
      <c r="C160" s="148"/>
      <c r="D160" s="153"/>
      <c r="E160" s="154"/>
      <c r="F160" s="149"/>
      <c r="G160" s="148"/>
      <c r="H160" s="148"/>
      <c r="I160" s="148"/>
      <c r="J160" s="148"/>
      <c r="K160" s="148"/>
      <c r="L160" s="148"/>
      <c r="M160" s="148"/>
    </row>
    <row r="161" spans="1:13" x14ac:dyDescent="0.5">
      <c r="A161" s="290"/>
      <c r="B161" s="42"/>
      <c r="C161" s="148"/>
      <c r="D161" s="153"/>
      <c r="E161" s="154"/>
      <c r="F161" s="149"/>
      <c r="G161" s="148"/>
      <c r="H161" s="148"/>
      <c r="I161" s="148"/>
      <c r="J161" s="148"/>
      <c r="K161" s="148"/>
      <c r="L161" s="148"/>
      <c r="M161" s="148"/>
    </row>
    <row r="162" spans="1:13" x14ac:dyDescent="0.5">
      <c r="A162" s="290"/>
      <c r="B162" s="42"/>
      <c r="C162" s="148"/>
      <c r="D162" s="153"/>
      <c r="E162" s="154"/>
      <c r="F162" s="149"/>
      <c r="G162" s="148"/>
      <c r="H162" s="148"/>
      <c r="I162" s="148"/>
      <c r="J162" s="148"/>
      <c r="K162" s="148"/>
      <c r="L162" s="148"/>
      <c r="M162" s="148"/>
    </row>
    <row r="163" spans="1:13" x14ac:dyDescent="0.5">
      <c r="A163" s="290"/>
      <c r="B163" s="42"/>
      <c r="C163" s="148"/>
      <c r="D163" s="153"/>
      <c r="E163" s="154"/>
      <c r="F163" s="149"/>
      <c r="G163" s="148"/>
      <c r="H163" s="148"/>
      <c r="I163" s="148"/>
      <c r="J163" s="148"/>
      <c r="K163" s="148"/>
      <c r="L163" s="148"/>
      <c r="M163" s="148"/>
    </row>
    <row r="164" spans="1:13" x14ac:dyDescent="0.5">
      <c r="A164" s="290"/>
      <c r="B164" s="42"/>
      <c r="C164" s="148"/>
      <c r="D164" s="153"/>
      <c r="E164" s="154"/>
      <c r="F164" s="149"/>
      <c r="G164" s="148"/>
      <c r="H164" s="148"/>
      <c r="I164" s="148"/>
      <c r="J164" s="148"/>
      <c r="K164" s="148"/>
      <c r="L164" s="148"/>
      <c r="M164" s="148"/>
    </row>
    <row r="165" spans="1:13" x14ac:dyDescent="0.5">
      <c r="A165" s="290"/>
      <c r="B165" s="42"/>
      <c r="C165" s="148"/>
      <c r="D165" s="153"/>
      <c r="E165" s="154"/>
      <c r="F165" s="149"/>
      <c r="G165" s="148"/>
      <c r="H165" s="148"/>
      <c r="I165" s="148"/>
      <c r="J165" s="148"/>
      <c r="K165" s="148"/>
      <c r="L165" s="148"/>
      <c r="M165" s="148"/>
    </row>
    <row r="166" spans="1:13" x14ac:dyDescent="0.5">
      <c r="A166" s="290"/>
      <c r="B166" s="42"/>
      <c r="C166" s="148"/>
      <c r="D166" s="153"/>
      <c r="E166" s="154"/>
      <c r="F166" s="149"/>
      <c r="G166" s="148"/>
      <c r="H166" s="148"/>
      <c r="I166" s="148"/>
      <c r="J166" s="148"/>
      <c r="K166" s="148"/>
      <c r="L166" s="148"/>
      <c r="M166" s="148"/>
    </row>
    <row r="167" spans="1:13" x14ac:dyDescent="0.5">
      <c r="A167" s="290"/>
      <c r="B167" s="42"/>
      <c r="C167" s="148"/>
      <c r="D167" s="153"/>
      <c r="E167" s="154"/>
      <c r="F167" s="149"/>
      <c r="G167" s="148"/>
      <c r="H167" s="148"/>
      <c r="I167" s="148"/>
      <c r="J167" s="148"/>
      <c r="K167" s="148"/>
      <c r="L167" s="148"/>
      <c r="M167" s="148"/>
    </row>
    <row r="168" spans="1:13" x14ac:dyDescent="0.5">
      <c r="A168" s="290"/>
      <c r="B168" s="42"/>
      <c r="C168" s="148"/>
      <c r="D168" s="153"/>
      <c r="E168" s="154"/>
      <c r="F168" s="149"/>
      <c r="G168" s="148"/>
      <c r="H168" s="148"/>
      <c r="I168" s="148"/>
      <c r="J168" s="148"/>
      <c r="K168" s="148"/>
      <c r="L168" s="148"/>
      <c r="M168" s="148"/>
    </row>
    <row r="169" spans="1:13" x14ac:dyDescent="0.5">
      <c r="A169" s="290"/>
      <c r="B169" s="42"/>
      <c r="C169" s="148"/>
      <c r="D169" s="153"/>
      <c r="E169" s="154"/>
      <c r="F169" s="149"/>
      <c r="G169" s="148"/>
      <c r="H169" s="148"/>
      <c r="I169" s="148"/>
      <c r="J169" s="148"/>
      <c r="K169" s="148"/>
      <c r="L169" s="148"/>
      <c r="M169" s="148"/>
    </row>
    <row r="170" spans="1:13" x14ac:dyDescent="0.5">
      <c r="A170" s="290"/>
      <c r="B170" s="42"/>
      <c r="C170" s="148"/>
      <c r="D170" s="153"/>
      <c r="E170" s="154"/>
      <c r="F170" s="149"/>
      <c r="G170" s="148"/>
      <c r="H170" s="148"/>
      <c r="I170" s="148"/>
      <c r="J170" s="148"/>
      <c r="K170" s="148"/>
      <c r="L170" s="148"/>
      <c r="M170" s="148"/>
    </row>
    <row r="171" spans="1:13" x14ac:dyDescent="0.5">
      <c r="A171" s="290"/>
      <c r="B171" s="42"/>
      <c r="C171" s="148"/>
      <c r="D171" s="153"/>
      <c r="E171" s="154"/>
      <c r="F171" s="149"/>
      <c r="G171" s="148"/>
      <c r="H171" s="148"/>
      <c r="I171" s="148"/>
      <c r="J171" s="148"/>
      <c r="K171" s="148"/>
      <c r="L171" s="148"/>
      <c r="M171" s="148"/>
    </row>
    <row r="172" spans="1:13" x14ac:dyDescent="0.5">
      <c r="A172" s="290"/>
      <c r="B172" s="42"/>
      <c r="C172" s="148"/>
      <c r="D172" s="153"/>
      <c r="E172" s="154"/>
      <c r="F172" s="149"/>
      <c r="G172" s="148"/>
      <c r="H172" s="148"/>
      <c r="I172" s="148"/>
      <c r="J172" s="148"/>
      <c r="K172" s="148"/>
      <c r="L172" s="148"/>
      <c r="M172" s="148"/>
    </row>
    <row r="173" spans="1:13" x14ac:dyDescent="0.5">
      <c r="A173" s="290"/>
      <c r="B173" s="42"/>
      <c r="C173" s="148"/>
      <c r="D173" s="153"/>
      <c r="E173" s="154"/>
      <c r="F173" s="149"/>
      <c r="G173" s="148"/>
      <c r="H173" s="148"/>
      <c r="I173" s="148"/>
      <c r="J173" s="148"/>
      <c r="K173" s="148"/>
      <c r="L173" s="148"/>
      <c r="M173" s="148"/>
    </row>
    <row r="174" spans="1:13" x14ac:dyDescent="0.5">
      <c r="A174" s="290"/>
      <c r="B174" s="42"/>
      <c r="C174" s="148"/>
      <c r="D174" s="153"/>
      <c r="E174" s="154"/>
      <c r="F174" s="149"/>
      <c r="G174" s="148"/>
      <c r="H174" s="148"/>
      <c r="I174" s="148"/>
      <c r="J174" s="148"/>
      <c r="K174" s="148"/>
      <c r="L174" s="148"/>
      <c r="M174" s="148"/>
    </row>
    <row r="175" spans="1:13" x14ac:dyDescent="0.5">
      <c r="A175" s="290"/>
      <c r="B175" s="42"/>
      <c r="C175" s="148"/>
      <c r="D175" s="153"/>
      <c r="E175" s="154"/>
      <c r="F175" s="149"/>
      <c r="G175" s="148"/>
      <c r="H175" s="148"/>
      <c r="I175" s="148"/>
      <c r="J175" s="148"/>
      <c r="K175" s="148"/>
      <c r="L175" s="148"/>
      <c r="M175" s="148"/>
    </row>
    <row r="176" spans="1:13" x14ac:dyDescent="0.5">
      <c r="A176" s="290"/>
      <c r="B176" s="42"/>
      <c r="C176" s="148"/>
      <c r="D176" s="153"/>
      <c r="E176" s="154"/>
      <c r="F176" s="149"/>
      <c r="G176" s="148"/>
      <c r="H176" s="148"/>
      <c r="I176" s="148"/>
      <c r="J176" s="148"/>
      <c r="K176" s="148"/>
      <c r="L176" s="148"/>
      <c r="M176" s="148"/>
    </row>
    <row r="177" spans="1:13" x14ac:dyDescent="0.5">
      <c r="A177" s="290"/>
      <c r="B177" s="42"/>
      <c r="C177" s="148"/>
      <c r="D177" s="153"/>
      <c r="E177" s="154"/>
      <c r="F177" s="149"/>
      <c r="G177" s="148"/>
      <c r="H177" s="148"/>
      <c r="I177" s="148"/>
      <c r="J177" s="148"/>
      <c r="K177" s="148"/>
      <c r="L177" s="148"/>
      <c r="M177" s="148"/>
    </row>
    <row r="178" spans="1:13" x14ac:dyDescent="0.5">
      <c r="A178" s="290"/>
      <c r="B178" s="42"/>
      <c r="C178" s="148"/>
      <c r="D178" s="153"/>
      <c r="E178" s="154"/>
      <c r="F178" s="149"/>
      <c r="G178" s="148"/>
      <c r="H178" s="148"/>
      <c r="I178" s="148"/>
      <c r="J178" s="148"/>
      <c r="K178" s="148"/>
      <c r="L178" s="148"/>
      <c r="M178" s="148"/>
    </row>
    <row r="179" spans="1:13" x14ac:dyDescent="0.5">
      <c r="A179" s="290"/>
      <c r="B179" s="42"/>
      <c r="C179" s="148"/>
      <c r="D179" s="153"/>
      <c r="E179" s="154"/>
      <c r="F179" s="149"/>
      <c r="G179" s="148"/>
      <c r="H179" s="148"/>
      <c r="I179" s="148"/>
      <c r="J179" s="148"/>
      <c r="K179" s="148"/>
      <c r="L179" s="148"/>
      <c r="M179" s="148"/>
    </row>
    <row r="180" spans="1:13" x14ac:dyDescent="0.5">
      <c r="A180" s="290"/>
      <c r="B180" s="42"/>
      <c r="C180" s="148"/>
      <c r="D180" s="153"/>
      <c r="E180" s="154"/>
      <c r="F180" s="149"/>
      <c r="G180" s="148"/>
      <c r="H180" s="148"/>
      <c r="I180" s="148"/>
      <c r="J180" s="148"/>
      <c r="K180" s="148"/>
      <c r="L180" s="148"/>
      <c r="M180" s="148"/>
    </row>
    <row r="181" spans="1:13" x14ac:dyDescent="0.5">
      <c r="A181" s="290"/>
      <c r="B181" s="42"/>
      <c r="C181" s="148"/>
      <c r="D181" s="153"/>
      <c r="E181" s="154"/>
      <c r="F181" s="149"/>
      <c r="G181" s="148"/>
      <c r="H181" s="148"/>
      <c r="I181" s="148"/>
      <c r="J181" s="148"/>
      <c r="K181" s="148"/>
      <c r="L181" s="148"/>
      <c r="M181" s="148"/>
    </row>
    <row r="182" spans="1:13" x14ac:dyDescent="0.5">
      <c r="A182" s="290"/>
      <c r="B182" s="42"/>
      <c r="C182" s="148"/>
      <c r="D182" s="153"/>
      <c r="E182" s="154"/>
      <c r="F182" s="149"/>
      <c r="G182" s="148"/>
      <c r="H182" s="148"/>
      <c r="I182" s="148"/>
      <c r="J182" s="148"/>
      <c r="K182" s="148"/>
      <c r="L182" s="148"/>
      <c r="M182" s="148"/>
    </row>
    <row r="183" spans="1:13" x14ac:dyDescent="0.5">
      <c r="A183" s="290"/>
      <c r="B183" s="42"/>
      <c r="C183" s="148"/>
      <c r="D183" s="153"/>
      <c r="E183" s="154"/>
      <c r="F183" s="149"/>
      <c r="G183" s="148"/>
      <c r="H183" s="148"/>
      <c r="I183" s="148"/>
      <c r="J183" s="148"/>
      <c r="K183" s="148"/>
      <c r="L183" s="148"/>
      <c r="M183" s="148"/>
    </row>
    <row r="184" spans="1:13" x14ac:dyDescent="0.5">
      <c r="A184" s="290"/>
      <c r="B184" s="42"/>
      <c r="C184" s="148"/>
      <c r="D184" s="153"/>
      <c r="E184" s="154"/>
      <c r="F184" s="149"/>
      <c r="G184" s="148"/>
      <c r="H184" s="148"/>
      <c r="I184" s="148"/>
      <c r="J184" s="148"/>
      <c r="K184" s="148"/>
      <c r="L184" s="148"/>
      <c r="M184" s="148"/>
    </row>
    <row r="185" spans="1:13" x14ac:dyDescent="0.5">
      <c r="A185" s="290"/>
      <c r="B185" s="42"/>
      <c r="C185" s="148"/>
      <c r="D185" s="153"/>
      <c r="E185" s="154"/>
      <c r="F185" s="149"/>
      <c r="G185" s="148"/>
      <c r="H185" s="148"/>
      <c r="I185" s="148"/>
      <c r="J185" s="148"/>
      <c r="K185" s="148"/>
      <c r="L185" s="148"/>
      <c r="M185" s="148"/>
    </row>
    <row r="186" spans="1:13" x14ac:dyDescent="0.5">
      <c r="A186" s="290"/>
      <c r="B186" s="42"/>
      <c r="C186" s="148"/>
      <c r="D186" s="153"/>
      <c r="E186" s="154"/>
      <c r="F186" s="149"/>
      <c r="G186" s="148"/>
      <c r="H186" s="148"/>
      <c r="I186" s="148"/>
      <c r="J186" s="148"/>
      <c r="K186" s="148"/>
      <c r="L186" s="148"/>
      <c r="M186" s="148"/>
    </row>
    <row r="187" spans="1:13" x14ac:dyDescent="0.5">
      <c r="A187" s="290"/>
      <c r="B187" s="42"/>
      <c r="C187" s="148"/>
      <c r="D187" s="153"/>
      <c r="E187" s="154"/>
      <c r="F187" s="149"/>
      <c r="G187" s="148"/>
      <c r="H187" s="148"/>
      <c r="I187" s="148"/>
      <c r="J187" s="148"/>
      <c r="K187" s="148"/>
      <c r="L187" s="148"/>
      <c r="M187" s="148"/>
    </row>
    <row r="188" spans="1:13" x14ac:dyDescent="0.5">
      <c r="A188" s="290"/>
      <c r="B188" s="42"/>
      <c r="C188" s="148"/>
      <c r="D188" s="153"/>
      <c r="E188" s="154"/>
      <c r="F188" s="149"/>
      <c r="G188" s="148"/>
      <c r="H188" s="148"/>
      <c r="I188" s="148"/>
      <c r="J188" s="148"/>
      <c r="K188" s="148"/>
      <c r="L188" s="148"/>
      <c r="M188" s="148"/>
    </row>
    <row r="189" spans="1:13" x14ac:dyDescent="0.5">
      <c r="A189" s="290"/>
      <c r="B189" s="42"/>
      <c r="C189" s="148"/>
      <c r="D189" s="153"/>
      <c r="E189" s="154"/>
      <c r="F189" s="149"/>
      <c r="G189" s="148"/>
      <c r="H189" s="148"/>
      <c r="I189" s="148"/>
      <c r="J189" s="148"/>
      <c r="K189" s="148"/>
      <c r="L189" s="148"/>
      <c r="M189" s="148"/>
    </row>
    <row r="190" spans="1:13" x14ac:dyDescent="0.5">
      <c r="A190" s="290"/>
      <c r="B190" s="42"/>
      <c r="C190" s="148"/>
      <c r="D190" s="153"/>
      <c r="E190" s="154"/>
      <c r="F190" s="149"/>
      <c r="G190" s="148"/>
      <c r="H190" s="148"/>
      <c r="I190" s="148"/>
      <c r="J190" s="148"/>
      <c r="K190" s="148"/>
      <c r="L190" s="148"/>
      <c r="M190" s="148"/>
    </row>
    <row r="191" spans="1:13" x14ac:dyDescent="0.5">
      <c r="A191" s="290"/>
      <c r="B191" s="42"/>
      <c r="C191" s="148"/>
      <c r="D191" s="153"/>
      <c r="E191" s="154"/>
      <c r="F191" s="149"/>
      <c r="G191" s="148"/>
      <c r="H191" s="148"/>
      <c r="I191" s="148"/>
      <c r="J191" s="148"/>
      <c r="K191" s="148"/>
      <c r="L191" s="148"/>
      <c r="M191" s="148"/>
    </row>
    <row r="192" spans="1:13" x14ac:dyDescent="0.5">
      <c r="A192" s="290"/>
      <c r="B192" s="42"/>
      <c r="C192" s="148"/>
      <c r="D192" s="153"/>
      <c r="E192" s="154"/>
      <c r="F192" s="149"/>
      <c r="G192" s="148"/>
      <c r="H192" s="148"/>
      <c r="I192" s="148"/>
      <c r="J192" s="148"/>
      <c r="K192" s="148"/>
      <c r="L192" s="148"/>
      <c r="M192" s="148"/>
    </row>
    <row r="193" spans="1:13" x14ac:dyDescent="0.5">
      <c r="A193" s="290"/>
      <c r="B193" s="42"/>
      <c r="C193" s="148"/>
      <c r="D193" s="153"/>
      <c r="E193" s="154"/>
      <c r="F193" s="149"/>
      <c r="G193" s="148"/>
      <c r="H193" s="148"/>
      <c r="I193" s="148"/>
      <c r="J193" s="148"/>
      <c r="K193" s="148"/>
      <c r="L193" s="148"/>
      <c r="M193" s="148"/>
    </row>
    <row r="194" spans="1:13" x14ac:dyDescent="0.5">
      <c r="A194" s="290"/>
      <c r="B194" s="42"/>
      <c r="C194" s="148"/>
      <c r="D194" s="153"/>
      <c r="E194" s="154"/>
      <c r="F194" s="149"/>
      <c r="G194" s="148"/>
      <c r="H194" s="148"/>
      <c r="I194" s="148"/>
      <c r="J194" s="148"/>
      <c r="K194" s="148"/>
      <c r="L194" s="148"/>
      <c r="M194" s="148"/>
    </row>
    <row r="195" spans="1:13" x14ac:dyDescent="0.5">
      <c r="A195" s="290"/>
      <c r="B195" s="42"/>
      <c r="C195" s="148"/>
      <c r="D195" s="153"/>
      <c r="E195" s="154"/>
      <c r="F195" s="149"/>
      <c r="G195" s="148"/>
      <c r="H195" s="148"/>
      <c r="I195" s="148"/>
      <c r="J195" s="148"/>
      <c r="K195" s="148"/>
      <c r="L195" s="148"/>
      <c r="M195" s="148"/>
    </row>
    <row r="196" spans="1:13" x14ac:dyDescent="0.5">
      <c r="A196" s="290"/>
      <c r="B196" s="42"/>
      <c r="C196" s="148"/>
      <c r="D196" s="153"/>
      <c r="E196" s="154"/>
      <c r="F196" s="149"/>
      <c r="G196" s="148"/>
      <c r="H196" s="148"/>
      <c r="I196" s="148"/>
      <c r="J196" s="148"/>
      <c r="K196" s="148"/>
      <c r="L196" s="148"/>
      <c r="M196" s="148"/>
    </row>
    <row r="197" spans="1:13" x14ac:dyDescent="0.5">
      <c r="A197" s="290"/>
      <c r="B197" s="42"/>
      <c r="C197" s="148"/>
      <c r="D197" s="153"/>
      <c r="E197" s="154"/>
      <c r="F197" s="149"/>
      <c r="G197" s="148"/>
      <c r="H197" s="148"/>
      <c r="I197" s="148"/>
      <c r="J197" s="148"/>
      <c r="K197" s="148"/>
      <c r="L197" s="148"/>
      <c r="M197" s="148"/>
    </row>
    <row r="198" spans="1:13" x14ac:dyDescent="0.5">
      <c r="A198" s="290"/>
      <c r="B198" s="42"/>
      <c r="C198" s="148"/>
      <c r="D198" s="153"/>
      <c r="E198" s="154"/>
      <c r="F198" s="149"/>
      <c r="G198" s="148"/>
      <c r="H198" s="148"/>
      <c r="I198" s="148"/>
      <c r="J198" s="148"/>
      <c r="K198" s="148"/>
      <c r="L198" s="148"/>
      <c r="M198" s="148"/>
    </row>
    <row r="199" spans="1:13" x14ac:dyDescent="0.5">
      <c r="A199" s="290"/>
      <c r="B199" s="42"/>
      <c r="C199" s="148"/>
      <c r="D199" s="153"/>
      <c r="E199" s="154"/>
      <c r="F199" s="149"/>
      <c r="G199" s="148"/>
      <c r="H199" s="148"/>
      <c r="I199" s="148"/>
      <c r="J199" s="148"/>
      <c r="K199" s="148"/>
      <c r="L199" s="148"/>
      <c r="M199" s="148"/>
    </row>
    <row r="200" spans="1:13" x14ac:dyDescent="0.5">
      <c r="A200" s="290"/>
      <c r="B200" s="42"/>
      <c r="C200" s="148"/>
      <c r="D200" s="153"/>
      <c r="E200" s="154"/>
      <c r="F200" s="149"/>
      <c r="G200" s="148"/>
      <c r="H200" s="148"/>
      <c r="I200" s="148"/>
      <c r="J200" s="148"/>
      <c r="K200" s="148"/>
      <c r="L200" s="148"/>
      <c r="M200" s="148"/>
    </row>
    <row r="201" spans="1:13" x14ac:dyDescent="0.5">
      <c r="A201" s="290"/>
      <c r="B201" s="42"/>
      <c r="C201" s="148"/>
      <c r="D201" s="153"/>
      <c r="E201" s="154"/>
      <c r="F201" s="149"/>
      <c r="G201" s="148"/>
      <c r="H201" s="148"/>
      <c r="I201" s="148"/>
      <c r="J201" s="148"/>
      <c r="K201" s="148"/>
      <c r="L201" s="148"/>
      <c r="M201" s="148"/>
    </row>
    <row r="202" spans="1:13" x14ac:dyDescent="0.5">
      <c r="A202" s="290"/>
      <c r="B202" s="42"/>
      <c r="C202" s="148"/>
      <c r="D202" s="153"/>
      <c r="E202" s="154"/>
      <c r="F202" s="149"/>
      <c r="G202" s="148"/>
      <c r="H202" s="148"/>
      <c r="I202" s="148"/>
      <c r="J202" s="148"/>
      <c r="K202" s="148"/>
      <c r="L202" s="148"/>
      <c r="M202" s="148"/>
    </row>
    <row r="203" spans="1:13" x14ac:dyDescent="0.5">
      <c r="A203" s="290"/>
      <c r="B203" s="42"/>
      <c r="C203" s="148"/>
      <c r="D203" s="153"/>
      <c r="E203" s="154"/>
      <c r="F203" s="149"/>
      <c r="G203" s="148"/>
      <c r="H203" s="148"/>
      <c r="I203" s="148"/>
      <c r="J203" s="148"/>
      <c r="K203" s="148"/>
      <c r="L203" s="148"/>
      <c r="M203" s="148"/>
    </row>
    <row r="204" spans="1:13" x14ac:dyDescent="0.5">
      <c r="A204" s="290"/>
      <c r="B204" s="42"/>
      <c r="C204" s="148"/>
      <c r="D204" s="153"/>
      <c r="E204" s="154"/>
      <c r="F204" s="149"/>
      <c r="G204" s="148"/>
      <c r="H204" s="148"/>
      <c r="I204" s="148"/>
      <c r="J204" s="148"/>
      <c r="K204" s="148"/>
      <c r="L204" s="148"/>
      <c r="M204" s="148"/>
    </row>
    <row r="205" spans="1:13" x14ac:dyDescent="0.5">
      <c r="A205" s="290"/>
      <c r="B205" s="42"/>
      <c r="C205" s="148"/>
      <c r="D205" s="153"/>
      <c r="E205" s="154"/>
      <c r="F205" s="149"/>
      <c r="G205" s="148"/>
      <c r="H205" s="148"/>
      <c r="I205" s="148"/>
      <c r="J205" s="148"/>
      <c r="K205" s="148"/>
      <c r="L205" s="148"/>
      <c r="M205" s="148"/>
    </row>
    <row r="206" spans="1:13" x14ac:dyDescent="0.5">
      <c r="A206" s="290"/>
      <c r="B206" s="42"/>
      <c r="C206" s="148"/>
      <c r="D206" s="153"/>
      <c r="E206" s="154"/>
      <c r="F206" s="149"/>
      <c r="G206" s="148"/>
      <c r="H206" s="148"/>
      <c r="I206" s="148"/>
      <c r="J206" s="148"/>
      <c r="K206" s="148"/>
      <c r="L206" s="148"/>
      <c r="M206" s="148"/>
    </row>
    <row r="207" spans="1:13" x14ac:dyDescent="0.5">
      <c r="A207" s="290"/>
      <c r="B207" s="42"/>
      <c r="C207" s="148"/>
      <c r="D207" s="153"/>
      <c r="E207" s="154"/>
      <c r="F207" s="149"/>
      <c r="G207" s="148"/>
      <c r="H207" s="148"/>
      <c r="I207" s="148"/>
      <c r="J207" s="148"/>
      <c r="K207" s="148"/>
      <c r="L207" s="148"/>
      <c r="M207" s="148"/>
    </row>
    <row r="208" spans="1:13" x14ac:dyDescent="0.5">
      <c r="A208" s="290"/>
      <c r="B208" s="42"/>
      <c r="C208" s="148"/>
      <c r="D208" s="153"/>
      <c r="E208" s="154"/>
      <c r="F208" s="149"/>
      <c r="G208" s="148"/>
      <c r="H208" s="148"/>
      <c r="I208" s="148"/>
      <c r="J208" s="148"/>
      <c r="K208" s="148"/>
      <c r="L208" s="148"/>
      <c r="M208" s="148"/>
    </row>
    <row r="209" spans="1:13" x14ac:dyDescent="0.5">
      <c r="A209" s="290"/>
      <c r="B209" s="42"/>
      <c r="C209" s="148"/>
      <c r="D209" s="153"/>
      <c r="E209" s="154"/>
      <c r="F209" s="149"/>
      <c r="G209" s="148"/>
      <c r="H209" s="148"/>
      <c r="I209" s="148"/>
      <c r="J209" s="148"/>
      <c r="K209" s="148"/>
      <c r="L209" s="148"/>
      <c r="M209" s="148"/>
    </row>
    <row r="210" spans="1:13" x14ac:dyDescent="0.5">
      <c r="A210" s="290"/>
      <c r="B210" s="42"/>
      <c r="C210" s="148"/>
      <c r="D210" s="153"/>
      <c r="E210" s="154"/>
      <c r="F210" s="149"/>
      <c r="G210" s="148"/>
      <c r="H210" s="148"/>
      <c r="I210" s="148"/>
      <c r="J210" s="148"/>
      <c r="K210" s="148"/>
      <c r="L210" s="148"/>
      <c r="M210" s="148"/>
    </row>
    <row r="211" spans="1:13" x14ac:dyDescent="0.5">
      <c r="A211" s="290"/>
      <c r="B211" s="42"/>
      <c r="C211" s="148"/>
      <c r="D211" s="153"/>
      <c r="E211" s="154"/>
      <c r="F211" s="149"/>
      <c r="G211" s="148"/>
      <c r="H211" s="148"/>
      <c r="I211" s="148"/>
      <c r="J211" s="148"/>
      <c r="K211" s="148"/>
      <c r="L211" s="148"/>
      <c r="M211" s="148"/>
    </row>
    <row r="212" spans="1:13" x14ac:dyDescent="0.5">
      <c r="A212" s="290"/>
      <c r="B212" s="42"/>
      <c r="C212" s="148"/>
      <c r="D212" s="153"/>
      <c r="E212" s="154"/>
      <c r="F212" s="149"/>
      <c r="G212" s="148"/>
      <c r="H212" s="148"/>
      <c r="I212" s="148"/>
      <c r="J212" s="148"/>
      <c r="K212" s="148"/>
      <c r="L212" s="148"/>
      <c r="M212" s="148"/>
    </row>
    <row r="213" spans="1:13" x14ac:dyDescent="0.5">
      <c r="A213" s="290"/>
      <c r="B213" s="42"/>
      <c r="C213" s="148"/>
      <c r="D213" s="153"/>
      <c r="E213" s="154"/>
      <c r="F213" s="149"/>
      <c r="G213" s="148"/>
      <c r="H213" s="148"/>
      <c r="I213" s="148"/>
      <c r="J213" s="148"/>
      <c r="K213" s="148"/>
      <c r="L213" s="148"/>
      <c r="M213" s="148"/>
    </row>
    <row r="214" spans="1:13" x14ac:dyDescent="0.5">
      <c r="A214" s="290"/>
      <c r="B214" s="42"/>
      <c r="C214" s="148"/>
      <c r="D214" s="153"/>
      <c r="E214" s="154"/>
      <c r="F214" s="149"/>
      <c r="G214" s="148"/>
      <c r="H214" s="148"/>
      <c r="I214" s="148"/>
      <c r="J214" s="148"/>
      <c r="K214" s="148"/>
      <c r="L214" s="148"/>
      <c r="M214" s="148"/>
    </row>
    <row r="215" spans="1:13" x14ac:dyDescent="0.5">
      <c r="A215" s="290"/>
      <c r="B215" s="42"/>
      <c r="C215" s="148"/>
      <c r="D215" s="153"/>
      <c r="E215" s="154"/>
      <c r="F215" s="149"/>
      <c r="G215" s="148"/>
      <c r="H215" s="148"/>
      <c r="I215" s="148"/>
      <c r="J215" s="148"/>
      <c r="K215" s="148"/>
      <c r="L215" s="148"/>
      <c r="M215" s="148"/>
    </row>
    <row r="216" spans="1:13" x14ac:dyDescent="0.5">
      <c r="A216" s="290"/>
      <c r="B216" s="42"/>
      <c r="C216" s="148"/>
      <c r="D216" s="153"/>
      <c r="E216" s="154"/>
      <c r="F216" s="149"/>
      <c r="G216" s="148"/>
      <c r="H216" s="148"/>
      <c r="I216" s="148"/>
      <c r="J216" s="148"/>
      <c r="K216" s="148"/>
      <c r="L216" s="148"/>
      <c r="M216" s="148"/>
    </row>
    <row r="217" spans="1:13" x14ac:dyDescent="0.5">
      <c r="A217" s="290"/>
      <c r="B217" s="42"/>
      <c r="C217" s="148"/>
      <c r="D217" s="153"/>
      <c r="E217" s="154"/>
      <c r="F217" s="149"/>
      <c r="G217" s="148"/>
      <c r="H217" s="148"/>
      <c r="I217" s="148"/>
      <c r="J217" s="148"/>
      <c r="K217" s="148"/>
      <c r="L217" s="148"/>
      <c r="M217" s="148"/>
    </row>
    <row r="218" spans="1:13" x14ac:dyDescent="0.5">
      <c r="A218" s="290"/>
      <c r="B218" s="42"/>
      <c r="C218" s="148"/>
      <c r="D218" s="153"/>
      <c r="E218" s="154"/>
      <c r="F218" s="149"/>
      <c r="G218" s="148"/>
      <c r="H218" s="148"/>
      <c r="I218" s="148"/>
      <c r="J218" s="148"/>
      <c r="K218" s="148"/>
      <c r="L218" s="148"/>
      <c r="M218" s="148"/>
    </row>
    <row r="219" spans="1:13" x14ac:dyDescent="0.5">
      <c r="A219" s="290"/>
      <c r="B219" s="42"/>
      <c r="C219" s="148"/>
      <c r="D219" s="153"/>
      <c r="E219" s="154"/>
      <c r="F219" s="149"/>
      <c r="G219" s="148"/>
      <c r="H219" s="148"/>
      <c r="I219" s="148"/>
      <c r="J219" s="148"/>
      <c r="K219" s="148"/>
      <c r="L219" s="148"/>
      <c r="M219" s="148"/>
    </row>
    <row r="220" spans="1:13" x14ac:dyDescent="0.5">
      <c r="A220" s="290"/>
      <c r="B220" s="42"/>
      <c r="C220" s="148"/>
      <c r="D220" s="153"/>
      <c r="E220" s="154"/>
      <c r="F220" s="149"/>
      <c r="G220" s="148"/>
      <c r="H220" s="148"/>
      <c r="I220" s="148"/>
      <c r="J220" s="148"/>
      <c r="K220" s="148"/>
      <c r="L220" s="148"/>
      <c r="M220" s="148"/>
    </row>
    <row r="221" spans="1:13" x14ac:dyDescent="0.5">
      <c r="A221" s="290"/>
      <c r="B221" s="42"/>
      <c r="C221" s="148"/>
      <c r="D221" s="153"/>
      <c r="E221" s="154"/>
      <c r="F221" s="149"/>
      <c r="G221" s="148"/>
      <c r="H221" s="148"/>
      <c r="I221" s="148"/>
      <c r="J221" s="148"/>
      <c r="K221" s="148"/>
      <c r="L221" s="148"/>
      <c r="M221" s="148"/>
    </row>
    <row r="222" spans="1:13" x14ac:dyDescent="0.5">
      <c r="A222" s="290"/>
      <c r="B222" s="42"/>
      <c r="C222" s="148"/>
      <c r="D222" s="153"/>
      <c r="E222" s="154"/>
      <c r="F222" s="149"/>
      <c r="G222" s="148"/>
      <c r="H222" s="148"/>
      <c r="I222" s="148"/>
      <c r="J222" s="148"/>
      <c r="K222" s="148"/>
      <c r="L222" s="148"/>
      <c r="M222" s="148"/>
    </row>
    <row r="223" spans="1:13" x14ac:dyDescent="0.5">
      <c r="A223" s="290"/>
      <c r="B223" s="42"/>
      <c r="C223" s="148"/>
      <c r="D223" s="153"/>
      <c r="E223" s="154"/>
      <c r="F223" s="149"/>
      <c r="G223" s="148"/>
      <c r="H223" s="148"/>
      <c r="I223" s="148"/>
      <c r="J223" s="148"/>
      <c r="K223" s="148"/>
      <c r="L223" s="148"/>
      <c r="M223" s="148"/>
    </row>
    <row r="224" spans="1:13" x14ac:dyDescent="0.5">
      <c r="A224" s="290"/>
      <c r="B224" s="42"/>
      <c r="C224" s="148"/>
      <c r="D224" s="153"/>
      <c r="E224" s="154"/>
      <c r="F224" s="149"/>
      <c r="G224" s="148"/>
      <c r="H224" s="148"/>
      <c r="I224" s="148"/>
      <c r="J224" s="148"/>
      <c r="K224" s="148"/>
      <c r="L224" s="148"/>
      <c r="M224" s="148"/>
    </row>
    <row r="225" spans="1:13" x14ac:dyDescent="0.5">
      <c r="A225" s="290"/>
      <c r="B225" s="42"/>
      <c r="C225" s="148"/>
      <c r="D225" s="153"/>
      <c r="E225" s="154"/>
      <c r="F225" s="149"/>
      <c r="G225" s="148"/>
      <c r="H225" s="148"/>
      <c r="I225" s="148"/>
      <c r="J225" s="148"/>
      <c r="K225" s="148"/>
      <c r="L225" s="148"/>
      <c r="M225" s="148"/>
    </row>
    <row r="226" spans="1:13" x14ac:dyDescent="0.5">
      <c r="A226" s="290"/>
      <c r="B226" s="42"/>
      <c r="C226" s="148"/>
      <c r="D226" s="153"/>
      <c r="E226" s="154"/>
      <c r="F226" s="149"/>
      <c r="G226" s="148"/>
      <c r="H226" s="148"/>
      <c r="I226" s="148"/>
      <c r="J226" s="148"/>
      <c r="K226" s="148"/>
      <c r="L226" s="148"/>
      <c r="M226" s="148"/>
    </row>
    <row r="227" spans="1:13" x14ac:dyDescent="0.5">
      <c r="A227" s="290"/>
      <c r="B227" s="42"/>
      <c r="C227" s="148"/>
      <c r="D227" s="153"/>
      <c r="E227" s="154"/>
      <c r="F227" s="149"/>
      <c r="G227" s="148"/>
      <c r="H227" s="148"/>
      <c r="I227" s="148"/>
      <c r="J227" s="148"/>
      <c r="K227" s="148"/>
      <c r="L227" s="148"/>
      <c r="M227" s="148"/>
    </row>
    <row r="228" spans="1:13" x14ac:dyDescent="0.5">
      <c r="A228" s="290"/>
      <c r="B228" s="42"/>
      <c r="C228" s="148"/>
      <c r="D228" s="153"/>
      <c r="E228" s="154"/>
      <c r="F228" s="149"/>
      <c r="G228" s="148"/>
      <c r="H228" s="148"/>
      <c r="I228" s="148"/>
      <c r="J228" s="148"/>
      <c r="K228" s="148"/>
      <c r="L228" s="148"/>
      <c r="M228" s="148"/>
    </row>
    <row r="229" spans="1:13" x14ac:dyDescent="0.5">
      <c r="A229" s="290"/>
      <c r="B229" s="42"/>
      <c r="C229" s="148"/>
      <c r="D229" s="153"/>
      <c r="E229" s="154"/>
      <c r="F229" s="149"/>
      <c r="G229" s="148"/>
      <c r="H229" s="148"/>
      <c r="I229" s="148"/>
      <c r="J229" s="148"/>
      <c r="K229" s="148"/>
      <c r="L229" s="148"/>
      <c r="M229" s="148"/>
    </row>
    <row r="230" spans="1:13" x14ac:dyDescent="0.5">
      <c r="A230" s="290"/>
      <c r="B230" s="42"/>
      <c r="C230" s="148"/>
      <c r="D230" s="153"/>
      <c r="E230" s="154"/>
      <c r="F230" s="149"/>
      <c r="G230" s="148"/>
      <c r="H230" s="148"/>
      <c r="I230" s="148"/>
      <c r="J230" s="148"/>
      <c r="K230" s="148"/>
      <c r="L230" s="148"/>
      <c r="M230" s="148"/>
    </row>
    <row r="231" spans="1:13" x14ac:dyDescent="0.5">
      <c r="A231" s="290"/>
      <c r="B231" s="42"/>
      <c r="C231" s="148"/>
      <c r="D231" s="153"/>
      <c r="E231" s="154"/>
      <c r="F231" s="149"/>
      <c r="G231" s="148"/>
      <c r="H231" s="148"/>
      <c r="I231" s="148"/>
      <c r="J231" s="148"/>
      <c r="K231" s="148"/>
      <c r="L231" s="148"/>
      <c r="M231" s="148"/>
    </row>
    <row r="232" spans="1:13" x14ac:dyDescent="0.5">
      <c r="A232" s="290"/>
      <c r="B232" s="42"/>
      <c r="C232" s="148"/>
      <c r="D232" s="153"/>
      <c r="E232" s="154"/>
      <c r="F232" s="149"/>
      <c r="G232" s="148"/>
      <c r="H232" s="148"/>
      <c r="I232" s="148"/>
      <c r="J232" s="148"/>
      <c r="K232" s="148"/>
      <c r="L232" s="148"/>
      <c r="M232" s="148"/>
    </row>
    <row r="233" spans="1:13" x14ac:dyDescent="0.5">
      <c r="A233" s="290"/>
      <c r="B233" s="42"/>
      <c r="C233" s="148"/>
      <c r="D233" s="153"/>
      <c r="E233" s="154"/>
      <c r="F233" s="149"/>
      <c r="G233" s="148"/>
      <c r="H233" s="148"/>
      <c r="I233" s="148"/>
      <c r="J233" s="148"/>
      <c r="K233" s="148"/>
      <c r="L233" s="148"/>
      <c r="M233" s="148"/>
    </row>
    <row r="234" spans="1:13" x14ac:dyDescent="0.5">
      <c r="A234" s="290"/>
      <c r="B234" s="42"/>
      <c r="C234" s="148"/>
      <c r="D234" s="153"/>
      <c r="E234" s="154"/>
      <c r="F234" s="149"/>
      <c r="G234" s="148"/>
      <c r="H234" s="148"/>
      <c r="I234" s="148"/>
      <c r="J234" s="148"/>
      <c r="K234" s="148"/>
      <c r="L234" s="148"/>
      <c r="M234" s="148"/>
    </row>
    <row r="235" spans="1:13" x14ac:dyDescent="0.5">
      <c r="A235" s="290"/>
      <c r="B235" s="42"/>
      <c r="C235" s="148"/>
      <c r="D235" s="153"/>
      <c r="E235" s="154"/>
      <c r="F235" s="149"/>
      <c r="G235" s="148"/>
      <c r="H235" s="148"/>
      <c r="I235" s="148"/>
      <c r="J235" s="148"/>
      <c r="K235" s="148"/>
      <c r="L235" s="148"/>
      <c r="M235" s="148"/>
    </row>
    <row r="236" spans="1:13" x14ac:dyDescent="0.5">
      <c r="A236" s="290"/>
      <c r="B236" s="42"/>
      <c r="C236" s="148"/>
      <c r="D236" s="153"/>
      <c r="E236" s="154"/>
      <c r="F236" s="149"/>
      <c r="G236" s="148"/>
      <c r="H236" s="148"/>
      <c r="I236" s="148"/>
      <c r="J236" s="148"/>
      <c r="K236" s="148"/>
      <c r="L236" s="148"/>
      <c r="M236" s="148"/>
    </row>
    <row r="237" spans="1:13" x14ac:dyDescent="0.5">
      <c r="A237" s="290"/>
      <c r="B237" s="42"/>
      <c r="C237" s="148"/>
      <c r="D237" s="153"/>
      <c r="E237" s="154"/>
      <c r="F237" s="149"/>
      <c r="G237" s="148"/>
      <c r="H237" s="148"/>
      <c r="I237" s="148"/>
      <c r="J237" s="148"/>
      <c r="K237" s="148"/>
      <c r="L237" s="148"/>
      <c r="M237" s="148"/>
    </row>
    <row r="238" spans="1:13" x14ac:dyDescent="0.5">
      <c r="A238" s="290"/>
      <c r="B238" s="42"/>
      <c r="C238" s="148"/>
      <c r="D238" s="153"/>
      <c r="E238" s="154"/>
      <c r="F238" s="149"/>
      <c r="G238" s="148"/>
      <c r="H238" s="148"/>
      <c r="I238" s="148"/>
      <c r="J238" s="148"/>
      <c r="K238" s="148"/>
      <c r="L238" s="148"/>
      <c r="M238" s="148"/>
    </row>
    <row r="239" spans="1:13" x14ac:dyDescent="0.5">
      <c r="A239" s="290"/>
      <c r="B239" s="42"/>
      <c r="C239" s="148"/>
      <c r="D239" s="153"/>
      <c r="E239" s="154"/>
      <c r="F239" s="149"/>
      <c r="G239" s="148"/>
      <c r="H239" s="148"/>
      <c r="I239" s="148"/>
      <c r="J239" s="148"/>
      <c r="K239" s="148"/>
      <c r="L239" s="148"/>
      <c r="M239" s="148"/>
    </row>
    <row r="240" spans="1:13" x14ac:dyDescent="0.5">
      <c r="A240" s="290"/>
      <c r="B240" s="42"/>
      <c r="C240" s="148"/>
      <c r="D240" s="153"/>
      <c r="E240" s="154"/>
      <c r="F240" s="149"/>
      <c r="G240" s="148"/>
      <c r="H240" s="148"/>
      <c r="I240" s="148"/>
      <c r="J240" s="148"/>
      <c r="K240" s="148"/>
      <c r="L240" s="148"/>
      <c r="M240" s="148"/>
    </row>
    <row r="241" spans="1:13" x14ac:dyDescent="0.5">
      <c r="A241" s="290"/>
      <c r="B241" s="42"/>
      <c r="C241" s="148"/>
      <c r="D241" s="153"/>
      <c r="E241" s="154"/>
      <c r="F241" s="149"/>
      <c r="G241" s="148"/>
      <c r="H241" s="148"/>
      <c r="I241" s="148"/>
      <c r="J241" s="148"/>
      <c r="K241" s="148"/>
      <c r="L241" s="148"/>
      <c r="M241" s="148"/>
    </row>
    <row r="242" spans="1:13" x14ac:dyDescent="0.5">
      <c r="C242" s="148"/>
      <c r="D242" s="153"/>
      <c r="E242" s="154"/>
      <c r="F242" s="149"/>
      <c r="G242" s="148"/>
      <c r="H242" s="148"/>
      <c r="I242" s="148"/>
      <c r="J242" s="148"/>
      <c r="K242" s="148"/>
      <c r="L242" s="148"/>
      <c r="M242" s="148"/>
    </row>
    <row r="243" spans="1:13" x14ac:dyDescent="0.5">
      <c r="C243" s="148"/>
      <c r="D243" s="153"/>
      <c r="E243" s="154"/>
      <c r="F243" s="149"/>
      <c r="G243" s="148"/>
      <c r="H243" s="148"/>
      <c r="I243" s="148"/>
      <c r="J243" s="148"/>
      <c r="K243" s="148"/>
      <c r="L243" s="148"/>
      <c r="M243" s="148"/>
    </row>
    <row r="244" spans="1:13" x14ac:dyDescent="0.5">
      <c r="C244" s="148"/>
      <c r="D244" s="153"/>
      <c r="E244" s="154"/>
      <c r="F244" s="149"/>
      <c r="G244" s="148"/>
      <c r="H244" s="148"/>
      <c r="I244" s="148"/>
      <c r="J244" s="148"/>
      <c r="K244" s="148"/>
      <c r="L244" s="148"/>
      <c r="M244" s="148"/>
    </row>
    <row r="245" spans="1:13" x14ac:dyDescent="0.5">
      <c r="C245" s="148"/>
      <c r="D245" s="153"/>
      <c r="E245" s="154"/>
      <c r="F245" s="149"/>
      <c r="G245" s="148"/>
      <c r="H245" s="148"/>
      <c r="I245" s="148"/>
      <c r="J245" s="148"/>
      <c r="K245" s="148"/>
      <c r="L245" s="148"/>
      <c r="M245" s="148"/>
    </row>
    <row r="246" spans="1:13" x14ac:dyDescent="0.5">
      <c r="C246" s="148"/>
      <c r="D246" s="153"/>
      <c r="E246" s="154"/>
      <c r="F246" s="149"/>
      <c r="G246" s="148"/>
      <c r="H246" s="148"/>
      <c r="I246" s="148"/>
      <c r="J246" s="148"/>
      <c r="K246" s="148"/>
      <c r="L246" s="148"/>
      <c r="M246" s="148"/>
    </row>
    <row r="247" spans="1:13" x14ac:dyDescent="0.5">
      <c r="C247" s="148"/>
      <c r="D247" s="153"/>
      <c r="E247" s="154"/>
      <c r="F247" s="149"/>
      <c r="G247" s="148"/>
      <c r="H247" s="148"/>
      <c r="I247" s="148"/>
      <c r="J247" s="148"/>
      <c r="K247" s="148"/>
      <c r="L247" s="148"/>
      <c r="M247" s="148"/>
    </row>
    <row r="248" spans="1:13" x14ac:dyDescent="0.5">
      <c r="C248" s="148"/>
      <c r="D248" s="153"/>
      <c r="E248" s="154"/>
      <c r="F248" s="149"/>
      <c r="G248" s="148"/>
      <c r="H248" s="148"/>
      <c r="I248" s="148"/>
      <c r="J248" s="148"/>
      <c r="K248" s="148"/>
      <c r="L248" s="148"/>
      <c r="M248" s="148"/>
    </row>
    <row r="249" spans="1:13" x14ac:dyDescent="0.5">
      <c r="C249" s="148"/>
      <c r="D249" s="153"/>
      <c r="E249" s="154"/>
      <c r="F249" s="149"/>
      <c r="G249" s="148"/>
      <c r="H249" s="148"/>
      <c r="I249" s="148"/>
      <c r="J249" s="148"/>
      <c r="K249" s="148"/>
      <c r="L249" s="148"/>
      <c r="M249" s="148"/>
    </row>
    <row r="250" spans="1:13" x14ac:dyDescent="0.5">
      <c r="C250" s="148"/>
      <c r="D250" s="153"/>
      <c r="E250" s="154"/>
      <c r="F250" s="149"/>
      <c r="G250" s="148"/>
      <c r="H250" s="148"/>
      <c r="I250" s="148"/>
      <c r="J250" s="148"/>
      <c r="K250" s="148"/>
      <c r="L250" s="148"/>
      <c r="M250" s="148"/>
    </row>
    <row r="251" spans="1:13" x14ac:dyDescent="0.5">
      <c r="C251" s="148"/>
      <c r="D251" s="153"/>
      <c r="E251" s="154"/>
      <c r="F251" s="149"/>
      <c r="G251" s="148"/>
      <c r="H251" s="148"/>
      <c r="I251" s="148"/>
      <c r="J251" s="148"/>
      <c r="K251" s="148"/>
      <c r="L251" s="148"/>
      <c r="M251" s="148"/>
    </row>
    <row r="252" spans="1:13" x14ac:dyDescent="0.5">
      <c r="C252" s="148"/>
      <c r="D252" s="153"/>
      <c r="E252" s="154"/>
      <c r="F252" s="149"/>
      <c r="G252" s="148"/>
      <c r="H252" s="148"/>
      <c r="I252" s="148"/>
      <c r="J252" s="148"/>
      <c r="K252" s="148"/>
      <c r="L252" s="148"/>
      <c r="M252" s="148"/>
    </row>
    <row r="253" spans="1:13" x14ac:dyDescent="0.5">
      <c r="C253" s="148"/>
      <c r="D253" s="153"/>
      <c r="E253" s="154"/>
      <c r="F253" s="149"/>
      <c r="G253" s="148"/>
      <c r="H253" s="148"/>
      <c r="I253" s="148"/>
      <c r="J253" s="148"/>
      <c r="K253" s="148"/>
      <c r="L253" s="148"/>
      <c r="M253" s="148"/>
    </row>
    <row r="254" spans="1:13" x14ac:dyDescent="0.5">
      <c r="C254" s="148"/>
      <c r="D254" s="153"/>
      <c r="E254" s="154"/>
      <c r="F254" s="149"/>
      <c r="G254" s="148"/>
      <c r="H254" s="148"/>
      <c r="I254" s="148"/>
      <c r="J254" s="148"/>
      <c r="K254" s="148"/>
      <c r="L254" s="148"/>
      <c r="M254" s="148"/>
    </row>
    <row r="255" spans="1:13" x14ac:dyDescent="0.5">
      <c r="C255" s="148"/>
      <c r="D255" s="153"/>
      <c r="E255" s="154"/>
      <c r="F255" s="149"/>
      <c r="G255" s="148"/>
      <c r="H255" s="148"/>
      <c r="I255" s="148"/>
      <c r="J255" s="148"/>
      <c r="K255" s="148"/>
      <c r="L255" s="148"/>
      <c r="M255" s="148"/>
    </row>
    <row r="256" spans="1:13" x14ac:dyDescent="0.5">
      <c r="C256" s="148"/>
      <c r="D256" s="153"/>
      <c r="E256" s="154"/>
      <c r="F256" s="149"/>
      <c r="G256" s="148"/>
      <c r="H256" s="148"/>
      <c r="I256" s="148"/>
      <c r="J256" s="148"/>
      <c r="K256" s="148"/>
      <c r="L256" s="148"/>
      <c r="M256" s="148"/>
    </row>
    <row r="257" spans="3:13" x14ac:dyDescent="0.5">
      <c r="C257" s="148"/>
      <c r="D257" s="153"/>
      <c r="E257" s="154"/>
      <c r="F257" s="149"/>
      <c r="G257" s="148"/>
      <c r="H257" s="148"/>
      <c r="I257" s="148"/>
      <c r="J257" s="148"/>
      <c r="K257" s="148"/>
      <c r="L257" s="148"/>
      <c r="M257" s="148"/>
    </row>
    <row r="258" spans="3:13" x14ac:dyDescent="0.5">
      <c r="C258" s="148"/>
      <c r="D258" s="153"/>
      <c r="E258" s="154"/>
      <c r="F258" s="149"/>
      <c r="G258" s="148"/>
      <c r="H258" s="148"/>
      <c r="I258" s="148"/>
      <c r="J258" s="148"/>
      <c r="K258" s="148"/>
      <c r="L258" s="148"/>
      <c r="M258" s="148"/>
    </row>
    <row r="259" spans="3:13" x14ac:dyDescent="0.5">
      <c r="C259" s="148"/>
      <c r="D259" s="153"/>
      <c r="E259" s="154"/>
      <c r="F259" s="149"/>
      <c r="G259" s="148"/>
      <c r="H259" s="148"/>
      <c r="I259" s="148"/>
      <c r="J259" s="148"/>
      <c r="K259" s="148"/>
      <c r="L259" s="148"/>
      <c r="M259" s="148"/>
    </row>
    <row r="260" spans="3:13" x14ac:dyDescent="0.5">
      <c r="C260" s="148"/>
      <c r="D260" s="153"/>
      <c r="E260" s="154"/>
      <c r="F260" s="149"/>
      <c r="G260" s="148"/>
      <c r="H260" s="148"/>
      <c r="I260" s="148"/>
      <c r="J260" s="148"/>
      <c r="K260" s="148"/>
      <c r="L260" s="148"/>
      <c r="M260" s="148"/>
    </row>
    <row r="261" spans="3:13" x14ac:dyDescent="0.5">
      <c r="C261" s="148"/>
      <c r="D261" s="153"/>
      <c r="E261" s="154"/>
      <c r="F261" s="149"/>
      <c r="G261" s="148"/>
      <c r="H261" s="148"/>
      <c r="I261" s="148"/>
      <c r="J261" s="148"/>
      <c r="K261" s="148"/>
      <c r="L261" s="148"/>
      <c r="M261" s="148"/>
    </row>
    <row r="262" spans="3:13" x14ac:dyDescent="0.5">
      <c r="C262" s="148"/>
      <c r="D262" s="153"/>
      <c r="E262" s="154"/>
      <c r="F262" s="149"/>
      <c r="G262" s="148"/>
      <c r="H262" s="148"/>
      <c r="I262" s="148"/>
      <c r="J262" s="148"/>
      <c r="K262" s="148"/>
      <c r="L262" s="148"/>
      <c r="M262" s="148"/>
    </row>
    <row r="263" spans="3:13" x14ac:dyDescent="0.5">
      <c r="C263" s="148"/>
      <c r="D263" s="153"/>
      <c r="E263" s="154"/>
      <c r="F263" s="149"/>
      <c r="G263" s="148"/>
      <c r="H263" s="148"/>
      <c r="I263" s="148"/>
      <c r="J263" s="148"/>
      <c r="K263" s="148"/>
      <c r="L263" s="148"/>
      <c r="M263" s="148"/>
    </row>
    <row r="264" spans="3:13" x14ac:dyDescent="0.5">
      <c r="C264" s="148"/>
      <c r="D264" s="153"/>
      <c r="E264" s="154"/>
      <c r="F264" s="149"/>
      <c r="G264" s="148"/>
      <c r="H264" s="148"/>
      <c r="I264" s="148"/>
      <c r="J264" s="148"/>
      <c r="K264" s="148"/>
      <c r="L264" s="148"/>
      <c r="M264" s="148"/>
    </row>
    <row r="265" spans="3:13" x14ac:dyDescent="0.5">
      <c r="C265" s="148"/>
      <c r="D265" s="153"/>
      <c r="E265" s="154"/>
      <c r="F265" s="149"/>
      <c r="G265" s="148"/>
      <c r="H265" s="148"/>
      <c r="I265" s="148"/>
      <c r="J265" s="148"/>
      <c r="K265" s="148"/>
      <c r="L265" s="148"/>
      <c r="M265" s="148"/>
    </row>
    <row r="266" spans="3:13" x14ac:dyDescent="0.5">
      <c r="C266" s="148"/>
      <c r="D266" s="153"/>
      <c r="E266" s="154"/>
      <c r="F266" s="149"/>
      <c r="G266" s="148"/>
      <c r="H266" s="148"/>
      <c r="I266" s="148"/>
      <c r="J266" s="148"/>
      <c r="K266" s="148"/>
      <c r="L266" s="148"/>
      <c r="M266" s="148"/>
    </row>
    <row r="267" spans="3:13" x14ac:dyDescent="0.5">
      <c r="C267" s="148"/>
      <c r="D267" s="153"/>
      <c r="E267" s="154"/>
      <c r="F267" s="149"/>
      <c r="G267" s="148"/>
      <c r="H267" s="148"/>
      <c r="I267" s="148"/>
      <c r="J267" s="148"/>
      <c r="K267" s="148"/>
      <c r="L267" s="148"/>
      <c r="M267" s="148"/>
    </row>
    <row r="268" spans="3:13" x14ac:dyDescent="0.5">
      <c r="C268" s="148"/>
      <c r="D268" s="153"/>
      <c r="E268" s="154"/>
      <c r="F268" s="149"/>
      <c r="G268" s="148"/>
      <c r="H268" s="148"/>
      <c r="I268" s="148"/>
      <c r="J268" s="148"/>
      <c r="K268" s="148"/>
      <c r="L268" s="148"/>
      <c r="M268" s="148"/>
    </row>
    <row r="269" spans="3:13" x14ac:dyDescent="0.5">
      <c r="C269" s="148"/>
      <c r="D269" s="153"/>
      <c r="E269" s="154"/>
      <c r="F269" s="149"/>
      <c r="G269" s="148"/>
      <c r="H269" s="148"/>
      <c r="I269" s="148"/>
      <c r="J269" s="148"/>
      <c r="K269" s="148"/>
      <c r="L269" s="148"/>
      <c r="M269" s="148"/>
    </row>
    <row r="270" spans="3:13" x14ac:dyDescent="0.5">
      <c r="C270" s="148"/>
      <c r="D270" s="153"/>
      <c r="E270" s="154"/>
      <c r="F270" s="149"/>
      <c r="G270" s="148"/>
      <c r="H270" s="148"/>
      <c r="I270" s="148"/>
      <c r="J270" s="148"/>
      <c r="K270" s="148"/>
      <c r="L270" s="148"/>
      <c r="M270" s="148"/>
    </row>
    <row r="271" spans="3:13" x14ac:dyDescent="0.5">
      <c r="C271" s="148"/>
      <c r="D271" s="153"/>
      <c r="E271" s="154"/>
      <c r="F271" s="149"/>
      <c r="G271" s="148"/>
      <c r="H271" s="148"/>
      <c r="I271" s="148"/>
      <c r="J271" s="148"/>
      <c r="K271" s="148"/>
      <c r="L271" s="148"/>
      <c r="M271" s="148"/>
    </row>
    <row r="272" spans="3:13" x14ac:dyDescent="0.5">
      <c r="C272" s="148"/>
      <c r="D272" s="153"/>
      <c r="E272" s="154"/>
      <c r="F272" s="149"/>
      <c r="G272" s="148"/>
      <c r="H272" s="148"/>
      <c r="I272" s="148"/>
      <c r="J272" s="148"/>
      <c r="K272" s="148"/>
      <c r="L272" s="148"/>
      <c r="M272" s="148"/>
    </row>
    <row r="273" spans="3:13" x14ac:dyDescent="0.5">
      <c r="C273" s="148"/>
      <c r="D273" s="153"/>
      <c r="E273" s="154"/>
      <c r="F273" s="149"/>
      <c r="G273" s="148"/>
      <c r="H273" s="148"/>
      <c r="I273" s="148"/>
      <c r="J273" s="148"/>
      <c r="K273" s="148"/>
      <c r="L273" s="148"/>
      <c r="M273" s="148"/>
    </row>
    <row r="274" spans="3:13" x14ac:dyDescent="0.5">
      <c r="C274" s="148"/>
      <c r="D274" s="153"/>
      <c r="E274" s="154"/>
      <c r="F274" s="149"/>
      <c r="G274" s="148"/>
      <c r="H274" s="148"/>
      <c r="I274" s="148"/>
      <c r="J274" s="148"/>
      <c r="K274" s="148"/>
      <c r="L274" s="148"/>
      <c r="M274" s="148"/>
    </row>
    <row r="275" spans="3:13" x14ac:dyDescent="0.5">
      <c r="C275" s="148"/>
      <c r="D275" s="153"/>
      <c r="E275" s="154"/>
      <c r="F275" s="149"/>
      <c r="G275" s="148"/>
      <c r="H275" s="148"/>
      <c r="I275" s="148"/>
      <c r="J275" s="148"/>
      <c r="K275" s="148"/>
      <c r="L275" s="148"/>
      <c r="M275" s="148"/>
    </row>
    <row r="276" spans="3:13" x14ac:dyDescent="0.5">
      <c r="C276" s="148"/>
      <c r="D276" s="153"/>
      <c r="E276" s="154"/>
      <c r="F276" s="149"/>
      <c r="G276" s="148"/>
      <c r="H276" s="148"/>
      <c r="I276" s="148"/>
      <c r="J276" s="148"/>
      <c r="K276" s="148"/>
      <c r="L276" s="148"/>
      <c r="M276" s="148"/>
    </row>
    <row r="277" spans="3:13" x14ac:dyDescent="0.5">
      <c r="C277" s="148"/>
      <c r="D277" s="153"/>
      <c r="E277" s="154"/>
      <c r="F277" s="149"/>
      <c r="G277" s="148"/>
      <c r="H277" s="148"/>
      <c r="I277" s="148"/>
      <c r="J277" s="148"/>
      <c r="K277" s="148"/>
      <c r="L277" s="148"/>
      <c r="M277" s="148"/>
    </row>
    <row r="278" spans="3:13" x14ac:dyDescent="0.5">
      <c r="C278" s="148"/>
      <c r="D278" s="153"/>
      <c r="E278" s="154"/>
      <c r="F278" s="149"/>
      <c r="G278" s="148"/>
      <c r="H278" s="148"/>
      <c r="I278" s="148"/>
      <c r="J278" s="148"/>
      <c r="K278" s="148"/>
      <c r="L278" s="148"/>
      <c r="M278" s="148"/>
    </row>
    <row r="279" spans="3:13" x14ac:dyDescent="0.5">
      <c r="C279" s="148"/>
      <c r="D279" s="153"/>
      <c r="E279" s="154"/>
      <c r="F279" s="149"/>
      <c r="G279" s="148"/>
      <c r="H279" s="148"/>
      <c r="I279" s="148"/>
      <c r="J279" s="148"/>
      <c r="K279" s="148"/>
      <c r="L279" s="148"/>
      <c r="M279" s="148"/>
    </row>
    <row r="280" spans="3:13" x14ac:dyDescent="0.5">
      <c r="C280" s="148"/>
      <c r="D280" s="153"/>
      <c r="E280" s="154"/>
      <c r="F280" s="149"/>
      <c r="G280" s="148"/>
      <c r="H280" s="148"/>
      <c r="I280" s="148"/>
      <c r="J280" s="148"/>
      <c r="K280" s="148"/>
      <c r="L280" s="148"/>
      <c r="M280" s="148"/>
    </row>
    <row r="281" spans="3:13" x14ac:dyDescent="0.5">
      <c r="C281" s="148"/>
      <c r="D281" s="153"/>
      <c r="E281" s="154"/>
      <c r="F281" s="149"/>
      <c r="G281" s="148"/>
      <c r="H281" s="148"/>
      <c r="I281" s="148"/>
      <c r="J281" s="148"/>
      <c r="K281" s="148"/>
      <c r="L281" s="148"/>
      <c r="M281" s="148"/>
    </row>
    <row r="282" spans="3:13" x14ac:dyDescent="0.5">
      <c r="C282" s="148"/>
      <c r="D282" s="153"/>
      <c r="E282" s="154"/>
      <c r="F282" s="149"/>
      <c r="G282" s="148"/>
      <c r="H282" s="148"/>
      <c r="I282" s="148"/>
      <c r="J282" s="148"/>
      <c r="K282" s="148"/>
      <c r="L282" s="148"/>
      <c r="M282" s="148"/>
    </row>
    <row r="283" spans="3:13" x14ac:dyDescent="0.5">
      <c r="C283" s="148"/>
      <c r="D283" s="153"/>
      <c r="E283" s="154"/>
      <c r="F283" s="149"/>
      <c r="G283" s="148"/>
      <c r="H283" s="148"/>
      <c r="I283" s="148"/>
      <c r="J283" s="148"/>
      <c r="K283" s="148"/>
      <c r="L283" s="148"/>
      <c r="M283" s="148"/>
    </row>
    <row r="284" spans="3:13" x14ac:dyDescent="0.5">
      <c r="C284" s="148"/>
      <c r="D284" s="153"/>
      <c r="E284" s="154"/>
      <c r="F284" s="149"/>
      <c r="G284" s="148"/>
      <c r="H284" s="148"/>
      <c r="I284" s="148"/>
      <c r="J284" s="148"/>
      <c r="K284" s="148"/>
      <c r="L284" s="148"/>
      <c r="M284" s="148"/>
    </row>
    <row r="285" spans="3:13" x14ac:dyDescent="0.5">
      <c r="C285" s="148"/>
      <c r="D285" s="153"/>
      <c r="E285" s="154"/>
      <c r="F285" s="149"/>
      <c r="G285" s="148"/>
      <c r="H285" s="148"/>
      <c r="I285" s="148"/>
      <c r="J285" s="148"/>
      <c r="K285" s="148"/>
      <c r="L285" s="148"/>
      <c r="M285" s="148"/>
    </row>
    <row r="286" spans="3:13" x14ac:dyDescent="0.5">
      <c r="C286" s="148"/>
      <c r="D286" s="153"/>
      <c r="E286" s="154"/>
      <c r="F286" s="149"/>
      <c r="G286" s="148"/>
      <c r="H286" s="148"/>
      <c r="I286" s="148"/>
      <c r="J286" s="148"/>
      <c r="K286" s="148"/>
      <c r="L286" s="148"/>
      <c r="M286" s="148"/>
    </row>
    <row r="287" spans="3:13" x14ac:dyDescent="0.5">
      <c r="C287" s="148"/>
      <c r="D287" s="153"/>
      <c r="E287" s="154"/>
      <c r="F287" s="149"/>
      <c r="G287" s="148"/>
      <c r="H287" s="148"/>
      <c r="I287" s="148"/>
      <c r="J287" s="148"/>
      <c r="K287" s="148"/>
      <c r="L287" s="148"/>
      <c r="M287" s="148"/>
    </row>
    <row r="288" spans="3:13" x14ac:dyDescent="0.5">
      <c r="C288" s="148"/>
      <c r="D288" s="153"/>
      <c r="E288" s="154"/>
      <c r="F288" s="149"/>
      <c r="G288" s="148"/>
      <c r="H288" s="148"/>
      <c r="I288" s="148"/>
      <c r="J288" s="148"/>
      <c r="K288" s="148"/>
      <c r="L288" s="148"/>
      <c r="M288" s="148"/>
    </row>
    <row r="289" spans="3:13" x14ac:dyDescent="0.5">
      <c r="C289" s="148"/>
      <c r="D289" s="153"/>
      <c r="E289" s="154"/>
      <c r="F289" s="149"/>
      <c r="G289" s="148"/>
      <c r="H289" s="148"/>
      <c r="I289" s="148"/>
      <c r="J289" s="148"/>
      <c r="K289" s="148"/>
      <c r="L289" s="148"/>
      <c r="M289" s="148"/>
    </row>
    <row r="290" spans="3:13" x14ac:dyDescent="0.5">
      <c r="C290" s="148"/>
      <c r="D290" s="153"/>
      <c r="E290" s="154"/>
      <c r="F290" s="149"/>
      <c r="G290" s="148"/>
      <c r="H290" s="148"/>
      <c r="I290" s="148"/>
      <c r="J290" s="148"/>
      <c r="K290" s="148"/>
      <c r="L290" s="148"/>
      <c r="M290" s="148"/>
    </row>
    <row r="291" spans="3:13" x14ac:dyDescent="0.5">
      <c r="C291" s="148"/>
      <c r="D291" s="153"/>
      <c r="E291" s="154"/>
      <c r="F291" s="149"/>
      <c r="G291" s="148"/>
      <c r="H291" s="148"/>
      <c r="I291" s="148"/>
      <c r="J291" s="148"/>
      <c r="K291" s="148"/>
      <c r="L291" s="148"/>
      <c r="M291" s="148"/>
    </row>
    <row r="292" spans="3:13" x14ac:dyDescent="0.5">
      <c r="C292" s="148"/>
      <c r="D292" s="153"/>
      <c r="E292" s="154"/>
      <c r="F292" s="149"/>
      <c r="G292" s="148"/>
      <c r="H292" s="148"/>
      <c r="I292" s="148"/>
      <c r="J292" s="148"/>
      <c r="K292" s="148"/>
      <c r="L292" s="148"/>
      <c r="M292" s="148"/>
    </row>
    <row r="293" spans="3:13" x14ac:dyDescent="0.5">
      <c r="C293" s="148"/>
      <c r="D293" s="153"/>
      <c r="E293" s="154"/>
      <c r="F293" s="149"/>
      <c r="G293" s="148"/>
      <c r="H293" s="148"/>
      <c r="I293" s="148"/>
      <c r="J293" s="148"/>
      <c r="K293" s="148"/>
      <c r="L293" s="148"/>
      <c r="M293" s="148"/>
    </row>
    <row r="294" spans="3:13" x14ac:dyDescent="0.5">
      <c r="C294" s="148"/>
      <c r="D294" s="153"/>
      <c r="E294" s="154"/>
      <c r="F294" s="149"/>
      <c r="G294" s="148"/>
      <c r="H294" s="148"/>
      <c r="I294" s="148"/>
      <c r="J294" s="148"/>
      <c r="K294" s="148"/>
      <c r="L294" s="148"/>
      <c r="M294" s="148"/>
    </row>
    <row r="295" spans="3:13" x14ac:dyDescent="0.5">
      <c r="C295" s="148"/>
      <c r="D295" s="153"/>
      <c r="E295" s="154"/>
      <c r="F295" s="149"/>
      <c r="G295" s="148"/>
      <c r="H295" s="148"/>
      <c r="I295" s="148"/>
      <c r="J295" s="148"/>
      <c r="K295" s="148"/>
      <c r="L295" s="148"/>
      <c r="M295" s="148"/>
    </row>
    <row r="296" spans="3:13" x14ac:dyDescent="0.5">
      <c r="C296" s="148"/>
      <c r="D296" s="153"/>
      <c r="E296" s="154"/>
      <c r="F296" s="149"/>
      <c r="G296" s="148"/>
      <c r="H296" s="148"/>
      <c r="I296" s="148"/>
      <c r="J296" s="148"/>
      <c r="K296" s="148"/>
      <c r="L296" s="148"/>
      <c r="M296" s="148"/>
    </row>
    <row r="297" spans="3:13" x14ac:dyDescent="0.5">
      <c r="C297" s="148"/>
      <c r="D297" s="153"/>
      <c r="E297" s="154"/>
      <c r="F297" s="149"/>
      <c r="G297" s="148"/>
      <c r="H297" s="148"/>
      <c r="I297" s="148"/>
      <c r="J297" s="148"/>
      <c r="K297" s="148"/>
      <c r="L297" s="148"/>
      <c r="M297" s="148"/>
    </row>
    <row r="298" spans="3:13" x14ac:dyDescent="0.5">
      <c r="C298" s="148"/>
      <c r="D298" s="153"/>
      <c r="E298" s="154"/>
      <c r="F298" s="149"/>
      <c r="G298" s="148"/>
      <c r="H298" s="148"/>
      <c r="I298" s="148"/>
      <c r="J298" s="148"/>
      <c r="K298" s="148"/>
      <c r="L298" s="148"/>
      <c r="M298" s="148"/>
    </row>
    <row r="299" spans="3:13" x14ac:dyDescent="0.5">
      <c r="C299" s="148"/>
      <c r="D299" s="153"/>
      <c r="E299" s="154"/>
      <c r="F299" s="149"/>
      <c r="G299" s="148"/>
      <c r="H299" s="148"/>
      <c r="I299" s="148"/>
      <c r="J299" s="148"/>
      <c r="K299" s="148"/>
      <c r="L299" s="148"/>
      <c r="M299" s="148"/>
    </row>
    <row r="300" spans="3:13" x14ac:dyDescent="0.5">
      <c r="C300" s="148"/>
      <c r="D300" s="153"/>
      <c r="E300" s="154"/>
      <c r="F300" s="149"/>
      <c r="G300" s="148"/>
      <c r="H300" s="148"/>
      <c r="I300" s="148"/>
      <c r="J300" s="148"/>
      <c r="K300" s="148"/>
      <c r="L300" s="148"/>
      <c r="M300" s="148"/>
    </row>
    <row r="301" spans="3:13" x14ac:dyDescent="0.5">
      <c r="C301" s="148"/>
      <c r="D301" s="153"/>
      <c r="E301" s="154"/>
      <c r="F301" s="149"/>
      <c r="G301" s="148"/>
      <c r="H301" s="148"/>
      <c r="I301" s="148"/>
      <c r="J301" s="148"/>
      <c r="K301" s="148"/>
      <c r="L301" s="148"/>
      <c r="M301" s="148"/>
    </row>
    <row r="302" spans="3:13" x14ac:dyDescent="0.5">
      <c r="C302" s="148"/>
      <c r="D302" s="153"/>
      <c r="E302" s="154"/>
      <c r="F302" s="149"/>
      <c r="G302" s="148"/>
      <c r="H302" s="148"/>
      <c r="I302" s="148"/>
      <c r="J302" s="148"/>
      <c r="K302" s="148"/>
      <c r="L302" s="148"/>
      <c r="M302" s="148"/>
    </row>
    <row r="303" spans="3:13" x14ac:dyDescent="0.5">
      <c r="C303" s="148"/>
      <c r="D303" s="153"/>
      <c r="E303" s="154"/>
      <c r="F303" s="149"/>
      <c r="G303" s="148"/>
      <c r="H303" s="148"/>
      <c r="I303" s="148"/>
      <c r="J303" s="148"/>
      <c r="K303" s="148"/>
      <c r="L303" s="148"/>
      <c r="M303" s="148"/>
    </row>
    <row r="304" spans="3:13" x14ac:dyDescent="0.5">
      <c r="C304" s="148"/>
      <c r="D304" s="153"/>
      <c r="E304" s="154"/>
      <c r="F304" s="149"/>
      <c r="G304" s="148"/>
      <c r="H304" s="148"/>
      <c r="I304" s="148"/>
      <c r="J304" s="148"/>
      <c r="K304" s="148"/>
      <c r="L304" s="148"/>
      <c r="M304" s="148"/>
    </row>
    <row r="305" spans="3:13" x14ac:dyDescent="0.5">
      <c r="C305" s="148"/>
      <c r="D305" s="153"/>
      <c r="E305" s="154"/>
      <c r="F305" s="149"/>
      <c r="G305" s="148"/>
      <c r="H305" s="148"/>
      <c r="I305" s="148"/>
      <c r="J305" s="148"/>
      <c r="K305" s="148"/>
      <c r="L305" s="148"/>
      <c r="M305" s="148"/>
    </row>
    <row r="306" spans="3:13" x14ac:dyDescent="0.5">
      <c r="C306" s="148"/>
      <c r="D306" s="153"/>
      <c r="E306" s="154"/>
      <c r="F306" s="149"/>
      <c r="G306" s="148"/>
      <c r="H306" s="148"/>
      <c r="I306" s="148"/>
      <c r="J306" s="148"/>
      <c r="K306" s="148"/>
      <c r="L306" s="148"/>
      <c r="M306" s="148"/>
    </row>
    <row r="307" spans="3:13" x14ac:dyDescent="0.5">
      <c r="C307" s="148"/>
      <c r="D307" s="153"/>
      <c r="E307" s="154"/>
      <c r="F307" s="149"/>
      <c r="G307" s="148"/>
      <c r="H307" s="148"/>
      <c r="I307" s="148"/>
      <c r="J307" s="148"/>
      <c r="K307" s="148"/>
      <c r="L307" s="148"/>
      <c r="M307" s="148"/>
    </row>
    <row r="308" spans="3:13" x14ac:dyDescent="0.5">
      <c r="C308" s="148"/>
      <c r="D308" s="153"/>
      <c r="E308" s="154"/>
      <c r="F308" s="149"/>
      <c r="G308" s="148"/>
      <c r="H308" s="148"/>
      <c r="I308" s="148"/>
      <c r="J308" s="148"/>
      <c r="K308" s="148"/>
      <c r="L308" s="148"/>
      <c r="M308" s="148"/>
    </row>
    <row r="309" spans="3:13" x14ac:dyDescent="0.5">
      <c r="C309" s="148"/>
      <c r="D309" s="153"/>
      <c r="E309" s="154"/>
      <c r="F309" s="149"/>
      <c r="G309" s="148"/>
      <c r="H309" s="148"/>
      <c r="I309" s="148"/>
      <c r="J309" s="148"/>
      <c r="K309" s="148"/>
      <c r="L309" s="148"/>
      <c r="M309" s="148"/>
    </row>
    <row r="310" spans="3:13" x14ac:dyDescent="0.5">
      <c r="C310" s="148"/>
      <c r="D310" s="153"/>
      <c r="E310" s="154"/>
      <c r="F310" s="149"/>
      <c r="G310" s="148"/>
      <c r="H310" s="148"/>
      <c r="I310" s="148"/>
      <c r="J310" s="148"/>
      <c r="K310" s="148"/>
      <c r="L310" s="148"/>
      <c r="M310" s="148"/>
    </row>
    <row r="311" spans="3:13" x14ac:dyDescent="0.5">
      <c r="C311" s="148"/>
      <c r="D311" s="153"/>
      <c r="E311" s="154"/>
      <c r="F311" s="149"/>
      <c r="G311" s="148"/>
      <c r="H311" s="148"/>
      <c r="I311" s="148"/>
      <c r="J311" s="148"/>
      <c r="K311" s="148"/>
      <c r="L311" s="148"/>
      <c r="M311" s="148"/>
    </row>
    <row r="312" spans="3:13" x14ac:dyDescent="0.5">
      <c r="C312" s="148"/>
      <c r="D312" s="153"/>
      <c r="E312" s="154"/>
      <c r="F312" s="149"/>
      <c r="G312" s="148"/>
      <c r="H312" s="148"/>
      <c r="I312" s="148"/>
      <c r="J312" s="148"/>
      <c r="K312" s="148"/>
      <c r="L312" s="148"/>
      <c r="M312" s="148"/>
    </row>
    <row r="313" spans="3:13" x14ac:dyDescent="0.5">
      <c r="C313" s="148"/>
      <c r="D313" s="153"/>
      <c r="E313" s="154"/>
      <c r="F313" s="149"/>
      <c r="G313" s="148"/>
      <c r="H313" s="148"/>
      <c r="I313" s="148"/>
      <c r="J313" s="148"/>
      <c r="K313" s="148"/>
      <c r="L313" s="148"/>
      <c r="M313" s="148"/>
    </row>
    <row r="314" spans="3:13" x14ac:dyDescent="0.5">
      <c r="C314" s="148"/>
      <c r="D314" s="153"/>
      <c r="E314" s="154"/>
      <c r="F314" s="149"/>
      <c r="G314" s="148"/>
      <c r="H314" s="148"/>
      <c r="I314" s="148"/>
      <c r="J314" s="148"/>
      <c r="K314" s="148"/>
      <c r="L314" s="148"/>
      <c r="M314" s="148"/>
    </row>
    <row r="315" spans="3:13" x14ac:dyDescent="0.5">
      <c r="C315" s="148"/>
      <c r="D315" s="153"/>
      <c r="E315" s="154"/>
      <c r="F315" s="149"/>
      <c r="G315" s="148"/>
      <c r="H315" s="148"/>
      <c r="I315" s="148"/>
      <c r="J315" s="148"/>
      <c r="K315" s="148"/>
      <c r="L315" s="148"/>
      <c r="M315" s="148"/>
    </row>
    <row r="316" spans="3:13" x14ac:dyDescent="0.5">
      <c r="C316" s="148"/>
      <c r="D316" s="153"/>
      <c r="E316" s="154"/>
      <c r="F316" s="149"/>
      <c r="G316" s="148"/>
      <c r="H316" s="148"/>
      <c r="I316" s="148"/>
      <c r="J316" s="148"/>
      <c r="K316" s="148"/>
      <c r="L316" s="148"/>
      <c r="M316" s="148"/>
    </row>
    <row r="317" spans="3:13" x14ac:dyDescent="0.5">
      <c r="C317" s="148"/>
      <c r="D317" s="153"/>
      <c r="E317" s="154"/>
      <c r="F317" s="149"/>
      <c r="G317" s="148"/>
      <c r="H317" s="148"/>
      <c r="I317" s="148"/>
      <c r="J317" s="148"/>
      <c r="K317" s="148"/>
      <c r="L317" s="148"/>
      <c r="M317" s="148"/>
    </row>
    <row r="318" spans="3:13" x14ac:dyDescent="0.5">
      <c r="C318" s="148"/>
      <c r="D318" s="153"/>
      <c r="E318" s="154"/>
      <c r="F318" s="149"/>
      <c r="G318" s="148"/>
      <c r="H318" s="148"/>
      <c r="I318" s="148"/>
      <c r="J318" s="148"/>
      <c r="K318" s="148"/>
      <c r="L318" s="148"/>
      <c r="M318" s="148"/>
    </row>
    <row r="319" spans="3:13" x14ac:dyDescent="0.5">
      <c r="C319" s="148"/>
      <c r="D319" s="153"/>
      <c r="E319" s="154"/>
      <c r="F319" s="149"/>
      <c r="G319" s="148"/>
      <c r="H319" s="148"/>
      <c r="I319" s="148"/>
      <c r="J319" s="148"/>
      <c r="K319" s="148"/>
      <c r="L319" s="148"/>
      <c r="M319" s="148"/>
    </row>
    <row r="320" spans="3:13" x14ac:dyDescent="0.5">
      <c r="C320" s="148"/>
      <c r="D320" s="153"/>
      <c r="E320" s="154"/>
      <c r="F320" s="149"/>
      <c r="G320" s="148"/>
      <c r="H320" s="148"/>
      <c r="I320" s="148"/>
      <c r="J320" s="148"/>
      <c r="K320" s="148"/>
      <c r="L320" s="148"/>
      <c r="M320" s="148"/>
    </row>
    <row r="321" spans="3:13" x14ac:dyDescent="0.5">
      <c r="C321" s="148"/>
      <c r="D321" s="153"/>
      <c r="E321" s="154"/>
      <c r="F321" s="149"/>
      <c r="G321" s="148"/>
      <c r="H321" s="148"/>
      <c r="I321" s="148"/>
      <c r="J321" s="148"/>
      <c r="K321" s="148"/>
      <c r="L321" s="148"/>
      <c r="M321" s="148"/>
    </row>
    <row r="322" spans="3:13" x14ac:dyDescent="0.5">
      <c r="C322" s="148"/>
      <c r="D322" s="153"/>
      <c r="E322" s="154"/>
      <c r="F322" s="149"/>
      <c r="G322" s="148"/>
      <c r="H322" s="148"/>
      <c r="I322" s="148"/>
      <c r="J322" s="148"/>
      <c r="K322" s="148"/>
      <c r="L322" s="148"/>
      <c r="M322" s="148"/>
    </row>
    <row r="323" spans="3:13" x14ac:dyDescent="0.5">
      <c r="C323" s="148"/>
      <c r="D323" s="153"/>
      <c r="E323" s="154"/>
      <c r="F323" s="149"/>
      <c r="G323" s="148"/>
      <c r="H323" s="148"/>
      <c r="I323" s="148"/>
      <c r="J323" s="148"/>
      <c r="K323" s="148"/>
      <c r="L323" s="148"/>
      <c r="M323" s="148"/>
    </row>
    <row r="324" spans="3:13" x14ac:dyDescent="0.5">
      <c r="C324" s="148"/>
      <c r="D324" s="153"/>
      <c r="E324" s="154"/>
      <c r="F324" s="149"/>
      <c r="G324" s="148"/>
      <c r="H324" s="148"/>
      <c r="I324" s="148"/>
      <c r="J324" s="148"/>
      <c r="K324" s="148"/>
      <c r="L324" s="148"/>
      <c r="M324" s="148"/>
    </row>
    <row r="325" spans="3:13" x14ac:dyDescent="0.5">
      <c r="C325" s="148"/>
      <c r="D325" s="153"/>
      <c r="E325" s="154"/>
      <c r="F325" s="149"/>
      <c r="G325" s="148"/>
      <c r="H325" s="148"/>
      <c r="I325" s="148"/>
      <c r="J325" s="148"/>
      <c r="K325" s="148"/>
      <c r="L325" s="148"/>
      <c r="M325" s="148"/>
    </row>
    <row r="326" spans="3:13" x14ac:dyDescent="0.5">
      <c r="C326" s="148"/>
      <c r="D326" s="153"/>
      <c r="E326" s="154"/>
      <c r="F326" s="149"/>
      <c r="G326" s="148"/>
      <c r="H326" s="148"/>
      <c r="I326" s="148"/>
      <c r="J326" s="148"/>
      <c r="K326" s="148"/>
      <c r="L326" s="148"/>
      <c r="M326" s="148"/>
    </row>
    <row r="327" spans="3:13" x14ac:dyDescent="0.5">
      <c r="C327" s="148"/>
      <c r="D327" s="153"/>
      <c r="E327" s="154"/>
      <c r="F327" s="149"/>
      <c r="G327" s="148"/>
      <c r="H327" s="148"/>
      <c r="I327" s="148"/>
      <c r="J327" s="148"/>
      <c r="K327" s="148"/>
      <c r="L327" s="148"/>
      <c r="M327" s="148"/>
    </row>
    <row r="328" spans="3:13" x14ac:dyDescent="0.5">
      <c r="C328" s="148"/>
      <c r="D328" s="153"/>
      <c r="E328" s="154"/>
      <c r="F328" s="149"/>
      <c r="G328" s="148"/>
      <c r="H328" s="148"/>
      <c r="I328" s="148"/>
      <c r="J328" s="148"/>
      <c r="K328" s="148"/>
      <c r="L328" s="148"/>
      <c r="M328" s="148"/>
    </row>
    <row r="329" spans="3:13" x14ac:dyDescent="0.5">
      <c r="C329" s="148"/>
      <c r="D329" s="153"/>
      <c r="E329" s="154"/>
      <c r="F329" s="149"/>
      <c r="G329" s="148"/>
      <c r="H329" s="148"/>
      <c r="I329" s="148"/>
      <c r="J329" s="148"/>
      <c r="K329" s="148"/>
      <c r="L329" s="148"/>
      <c r="M329" s="148"/>
    </row>
    <row r="330" spans="3:13" x14ac:dyDescent="0.5">
      <c r="C330" s="148"/>
      <c r="D330" s="153"/>
      <c r="E330" s="154"/>
      <c r="F330" s="149"/>
      <c r="G330" s="148"/>
      <c r="H330" s="148"/>
      <c r="I330" s="148"/>
      <c r="J330" s="148"/>
      <c r="K330" s="148"/>
      <c r="L330" s="148"/>
      <c r="M330" s="148"/>
    </row>
    <row r="331" spans="3:13" x14ac:dyDescent="0.5">
      <c r="C331" s="148"/>
      <c r="D331" s="153"/>
      <c r="E331" s="154"/>
      <c r="F331" s="149"/>
      <c r="G331" s="148"/>
      <c r="H331" s="148"/>
      <c r="I331" s="148"/>
      <c r="J331" s="148"/>
      <c r="K331" s="148"/>
      <c r="L331" s="148"/>
      <c r="M331" s="148"/>
    </row>
    <row r="332" spans="3:13" x14ac:dyDescent="0.5">
      <c r="C332" s="148"/>
      <c r="D332" s="153"/>
      <c r="E332" s="154"/>
      <c r="F332" s="149"/>
      <c r="G332" s="148"/>
      <c r="H332" s="148"/>
      <c r="I332" s="148"/>
      <c r="J332" s="148"/>
      <c r="K332" s="148"/>
      <c r="L332" s="148"/>
      <c r="M332" s="148"/>
    </row>
    <row r="333" spans="3:13" x14ac:dyDescent="0.5">
      <c r="C333" s="148"/>
      <c r="D333" s="153"/>
      <c r="E333" s="154"/>
      <c r="F333" s="149"/>
      <c r="G333" s="148"/>
      <c r="H333" s="148"/>
      <c r="I333" s="148"/>
      <c r="J333" s="148"/>
      <c r="K333" s="148"/>
      <c r="L333" s="148"/>
      <c r="M333" s="148"/>
    </row>
    <row r="334" spans="3:13" x14ac:dyDescent="0.5">
      <c r="C334" s="148"/>
      <c r="D334" s="153"/>
      <c r="E334" s="154"/>
      <c r="F334" s="149"/>
      <c r="G334" s="148"/>
      <c r="H334" s="148"/>
      <c r="I334" s="148"/>
      <c r="J334" s="148"/>
      <c r="K334" s="148"/>
      <c r="L334" s="148"/>
      <c r="M334" s="148"/>
    </row>
    <row r="335" spans="3:13" x14ac:dyDescent="0.5">
      <c r="C335" s="148"/>
      <c r="D335" s="153"/>
      <c r="E335" s="154"/>
      <c r="F335" s="149"/>
      <c r="G335" s="148"/>
      <c r="H335" s="148"/>
      <c r="I335" s="148"/>
      <c r="J335" s="148"/>
      <c r="K335" s="148"/>
      <c r="L335" s="148"/>
      <c r="M335" s="148"/>
    </row>
    <row r="336" spans="3:13" x14ac:dyDescent="0.5">
      <c r="C336" s="148"/>
      <c r="D336" s="153"/>
      <c r="E336" s="154"/>
      <c r="F336" s="149"/>
      <c r="G336" s="148"/>
      <c r="H336" s="148"/>
      <c r="I336" s="148"/>
      <c r="J336" s="148"/>
      <c r="K336" s="148"/>
      <c r="L336" s="148"/>
      <c r="M336" s="148"/>
    </row>
    <row r="337" spans="3:13" x14ac:dyDescent="0.5">
      <c r="C337" s="148"/>
      <c r="D337" s="153"/>
      <c r="E337" s="154"/>
      <c r="F337" s="149"/>
      <c r="G337" s="148"/>
      <c r="H337" s="148"/>
      <c r="I337" s="148"/>
      <c r="J337" s="148"/>
      <c r="K337" s="148"/>
      <c r="L337" s="148"/>
      <c r="M337" s="148"/>
    </row>
    <row r="338" spans="3:13" x14ac:dyDescent="0.5">
      <c r="C338" s="148"/>
      <c r="D338" s="153"/>
      <c r="E338" s="154"/>
      <c r="F338" s="149"/>
      <c r="G338" s="148"/>
      <c r="H338" s="148"/>
      <c r="I338" s="148"/>
      <c r="J338" s="148"/>
      <c r="K338" s="148"/>
      <c r="L338" s="148"/>
      <c r="M338" s="148"/>
    </row>
    <row r="339" spans="3:13" x14ac:dyDescent="0.5">
      <c r="C339" s="148"/>
      <c r="D339" s="153"/>
      <c r="E339" s="154"/>
      <c r="F339" s="149"/>
      <c r="G339" s="148"/>
      <c r="H339" s="148"/>
      <c r="I339" s="148"/>
      <c r="J339" s="148"/>
      <c r="K339" s="148"/>
      <c r="L339" s="148"/>
      <c r="M339" s="148"/>
    </row>
    <row r="340" spans="3:13" x14ac:dyDescent="0.5">
      <c r="C340" s="148"/>
      <c r="D340" s="153"/>
      <c r="E340" s="154"/>
      <c r="F340" s="149"/>
      <c r="G340" s="148"/>
      <c r="H340" s="148"/>
      <c r="I340" s="148"/>
      <c r="J340" s="148"/>
      <c r="K340" s="148"/>
      <c r="L340" s="148"/>
      <c r="M340" s="148"/>
    </row>
    <row r="341" spans="3:13" x14ac:dyDescent="0.5">
      <c r="C341" s="148"/>
      <c r="D341" s="153"/>
      <c r="E341" s="154"/>
      <c r="F341" s="149"/>
      <c r="G341" s="148"/>
      <c r="H341" s="148"/>
      <c r="I341" s="148"/>
      <c r="J341" s="148"/>
      <c r="K341" s="148"/>
      <c r="L341" s="148"/>
      <c r="M341" s="148"/>
    </row>
    <row r="342" spans="3:13" x14ac:dyDescent="0.5">
      <c r="C342" s="148"/>
      <c r="D342" s="153"/>
      <c r="E342" s="154"/>
      <c r="F342" s="149"/>
      <c r="G342" s="148"/>
      <c r="H342" s="148"/>
      <c r="I342" s="148"/>
      <c r="J342" s="148"/>
      <c r="K342" s="148"/>
      <c r="L342" s="148"/>
      <c r="M342" s="148"/>
    </row>
    <row r="343" spans="3:13" x14ac:dyDescent="0.5">
      <c r="C343" s="148"/>
      <c r="D343" s="153"/>
      <c r="E343" s="154"/>
      <c r="F343" s="149"/>
      <c r="G343" s="148"/>
      <c r="H343" s="148"/>
      <c r="I343" s="148"/>
      <c r="J343" s="148"/>
      <c r="K343" s="148"/>
      <c r="L343" s="148"/>
      <c r="M343" s="148"/>
    </row>
    <row r="344" spans="3:13" x14ac:dyDescent="0.5">
      <c r="C344" s="148"/>
      <c r="D344" s="153"/>
      <c r="E344" s="154"/>
      <c r="F344" s="149"/>
      <c r="G344" s="148"/>
      <c r="H344" s="148"/>
      <c r="I344" s="148"/>
      <c r="J344" s="148"/>
      <c r="K344" s="148"/>
      <c r="L344" s="148"/>
      <c r="M344" s="148"/>
    </row>
    <row r="345" spans="3:13" x14ac:dyDescent="0.5">
      <c r="C345" s="148"/>
      <c r="D345" s="153"/>
      <c r="E345" s="154"/>
      <c r="F345" s="149"/>
      <c r="G345" s="148"/>
      <c r="H345" s="148"/>
      <c r="I345" s="148"/>
      <c r="J345" s="148"/>
      <c r="K345" s="148"/>
      <c r="L345" s="148"/>
      <c r="M345" s="148"/>
    </row>
    <row r="346" spans="3:13" x14ac:dyDescent="0.5">
      <c r="C346" s="148"/>
      <c r="D346" s="153"/>
      <c r="E346" s="154"/>
      <c r="F346" s="149"/>
      <c r="G346" s="148"/>
      <c r="H346" s="148"/>
      <c r="I346" s="148"/>
      <c r="J346" s="148"/>
      <c r="K346" s="148"/>
      <c r="L346" s="148"/>
      <c r="M346" s="148"/>
    </row>
    <row r="347" spans="3:13" x14ac:dyDescent="0.5">
      <c r="C347" s="148"/>
      <c r="D347" s="153"/>
      <c r="E347" s="154"/>
      <c r="F347" s="149"/>
      <c r="G347" s="148"/>
      <c r="H347" s="148"/>
      <c r="I347" s="148"/>
      <c r="J347" s="148"/>
      <c r="K347" s="148"/>
      <c r="L347" s="148"/>
      <c r="M347" s="148"/>
    </row>
    <row r="348" spans="3:13" x14ac:dyDescent="0.5">
      <c r="C348" s="148"/>
      <c r="D348" s="153"/>
      <c r="E348" s="154"/>
      <c r="F348" s="149"/>
      <c r="G348" s="148"/>
      <c r="H348" s="148"/>
      <c r="I348" s="148"/>
      <c r="J348" s="148"/>
      <c r="K348" s="148"/>
      <c r="L348" s="148"/>
      <c r="M348" s="148"/>
    </row>
    <row r="349" spans="3:13" x14ac:dyDescent="0.5">
      <c r="C349" s="148"/>
      <c r="D349" s="153"/>
      <c r="E349" s="154"/>
      <c r="F349" s="149"/>
      <c r="G349" s="148"/>
      <c r="H349" s="148"/>
      <c r="I349" s="148"/>
      <c r="J349" s="148"/>
      <c r="K349" s="148"/>
      <c r="L349" s="148"/>
      <c r="M349" s="148"/>
    </row>
    <row r="350" spans="3:13" x14ac:dyDescent="0.5">
      <c r="F350" s="147"/>
    </row>
    <row r="351" spans="3:13" x14ac:dyDescent="0.5">
      <c r="F351" s="124"/>
    </row>
    <row r="352" spans="3:13" x14ac:dyDescent="0.5">
      <c r="F352" s="124"/>
    </row>
    <row r="353" spans="6:6" x14ac:dyDescent="0.5">
      <c r="F353" s="124"/>
    </row>
    <row r="354" spans="6:6" x14ac:dyDescent="0.5">
      <c r="F354" s="124"/>
    </row>
    <row r="355" spans="6:6" x14ac:dyDescent="0.5">
      <c r="F355" s="124"/>
    </row>
    <row r="356" spans="6:6" x14ac:dyDescent="0.5">
      <c r="F356" s="124"/>
    </row>
    <row r="357" spans="6:6" x14ac:dyDescent="0.5">
      <c r="F357" s="124"/>
    </row>
    <row r="358" spans="6:6" x14ac:dyDescent="0.5">
      <c r="F358" s="124"/>
    </row>
    <row r="359" spans="6:6" x14ac:dyDescent="0.5">
      <c r="F359" s="124"/>
    </row>
    <row r="360" spans="6:6" x14ac:dyDescent="0.5">
      <c r="F360" s="124"/>
    </row>
    <row r="361" spans="6:6" x14ac:dyDescent="0.5">
      <c r="F361" s="124"/>
    </row>
    <row r="362" spans="6:6" x14ac:dyDescent="0.5">
      <c r="F362" s="124"/>
    </row>
    <row r="363" spans="6:6" x14ac:dyDescent="0.5">
      <c r="F363" s="124"/>
    </row>
    <row r="364" spans="6:6" x14ac:dyDescent="0.5">
      <c r="F364" s="124"/>
    </row>
    <row r="365" spans="6:6" x14ac:dyDescent="0.5">
      <c r="F365" s="124"/>
    </row>
    <row r="366" spans="6:6" x14ac:dyDescent="0.5">
      <c r="F366" s="124"/>
    </row>
    <row r="367" spans="6:6" x14ac:dyDescent="0.5">
      <c r="F367" s="124"/>
    </row>
    <row r="368" spans="6:6" x14ac:dyDescent="0.5">
      <c r="F368" s="124"/>
    </row>
    <row r="369" spans="6:6" x14ac:dyDescent="0.5">
      <c r="F369" s="124"/>
    </row>
    <row r="370" spans="6:6" x14ac:dyDescent="0.5">
      <c r="F370" s="124"/>
    </row>
    <row r="371" spans="6:6" x14ac:dyDescent="0.5">
      <c r="F371" s="124"/>
    </row>
    <row r="372" spans="6:6" x14ac:dyDescent="0.5">
      <c r="F372" s="124"/>
    </row>
    <row r="373" spans="6:6" x14ac:dyDescent="0.5">
      <c r="F373" s="124"/>
    </row>
    <row r="374" spans="6:6" x14ac:dyDescent="0.5">
      <c r="F374" s="124"/>
    </row>
    <row r="375" spans="6:6" x14ac:dyDescent="0.5">
      <c r="F375" s="124"/>
    </row>
    <row r="376" spans="6:6" x14ac:dyDescent="0.5">
      <c r="F376" s="124"/>
    </row>
    <row r="377" spans="6:6" x14ac:dyDescent="0.5">
      <c r="F377" s="124"/>
    </row>
    <row r="378" spans="6:6" x14ac:dyDescent="0.5">
      <c r="F378" s="124"/>
    </row>
    <row r="379" spans="6:6" x14ac:dyDescent="0.5">
      <c r="F379" s="124"/>
    </row>
    <row r="380" spans="6:6" x14ac:dyDescent="0.5">
      <c r="F380" s="124"/>
    </row>
    <row r="381" spans="6:6" x14ac:dyDescent="0.5">
      <c r="F381" s="124"/>
    </row>
    <row r="382" spans="6:6" x14ac:dyDescent="0.5">
      <c r="F382" s="124"/>
    </row>
    <row r="383" spans="6:6" x14ac:dyDescent="0.5">
      <c r="F383" s="124"/>
    </row>
    <row r="384" spans="6:6" x14ac:dyDescent="0.5">
      <c r="F384" s="124"/>
    </row>
    <row r="385" spans="6:6" x14ac:dyDescent="0.5">
      <c r="F385" s="124"/>
    </row>
    <row r="386" spans="6:6" x14ac:dyDescent="0.5">
      <c r="F386" s="124"/>
    </row>
    <row r="387" spans="6:6" x14ac:dyDescent="0.5">
      <c r="F387" s="124"/>
    </row>
    <row r="388" spans="6:6" x14ac:dyDescent="0.5">
      <c r="F388" s="124"/>
    </row>
    <row r="389" spans="6:6" x14ac:dyDescent="0.5">
      <c r="F389" s="124"/>
    </row>
    <row r="390" spans="6:6" x14ac:dyDescent="0.5">
      <c r="F390" s="124"/>
    </row>
    <row r="391" spans="6:6" x14ac:dyDescent="0.5">
      <c r="F391" s="124"/>
    </row>
    <row r="392" spans="6:6" x14ac:dyDescent="0.5">
      <c r="F392" s="124"/>
    </row>
    <row r="393" spans="6:6" x14ac:dyDescent="0.5">
      <c r="F393" s="124"/>
    </row>
    <row r="394" spans="6:6" x14ac:dyDescent="0.5">
      <c r="F394" s="124"/>
    </row>
    <row r="395" spans="6:6" x14ac:dyDescent="0.5">
      <c r="F395" s="124"/>
    </row>
  </sheetData>
  <mergeCells count="4">
    <mergeCell ref="A1:I1"/>
    <mergeCell ref="A2:A1048576"/>
    <mergeCell ref="B2:C2"/>
    <mergeCell ref="B4:C5"/>
  </mergeCells>
  <pageMargins left="0.511811024" right="0.511811024" top="0.78740157499999996" bottom="0.78740157499999996" header="0.31496062000000002" footer="0.31496062000000002"/>
  <pageSetup paperSize="9" scale="47" orientation="portrait" r:id="rId1"/>
  <rowBreaks count="1" manualBreakCount="1">
    <brk id="11" max="9" man="1"/>
  </rowBreaks>
  <colBreaks count="1" manualBreakCount="1">
    <brk id="6" min="1" max="38" man="1"/>
  </colBreak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6"/>
  <dimension ref="A1:J56"/>
  <sheetViews>
    <sheetView showGridLines="0" workbookViewId="0">
      <selection activeCell="E27" sqref="E27"/>
    </sheetView>
  </sheetViews>
  <sheetFormatPr defaultRowHeight="15" x14ac:dyDescent="0.25"/>
  <cols>
    <col min="1" max="1" width="23" bestFit="1" customWidth="1"/>
    <col min="2" max="2" width="35.140625" bestFit="1" customWidth="1"/>
    <col min="3" max="3" width="11.42578125" bestFit="1" customWidth="1"/>
    <col min="4" max="4" width="12.140625" bestFit="1" customWidth="1"/>
    <col min="5" max="7" width="12.7109375" bestFit="1" customWidth="1"/>
    <col min="10" max="10" width="13.85546875" bestFit="1" customWidth="1"/>
  </cols>
  <sheetData>
    <row r="1" spans="1:10" x14ac:dyDescent="0.25">
      <c r="A1" s="195" t="s">
        <v>142</v>
      </c>
    </row>
    <row r="2" spans="1:10" x14ac:dyDescent="0.25">
      <c r="A2" s="195" t="s">
        <v>85</v>
      </c>
      <c r="B2" s="195" t="s">
        <v>24</v>
      </c>
      <c r="C2" s="195" t="s">
        <v>144</v>
      </c>
      <c r="D2" s="195" t="s">
        <v>143</v>
      </c>
      <c r="E2" s="195" t="s">
        <v>20</v>
      </c>
    </row>
    <row r="3" spans="1:10" x14ac:dyDescent="0.25">
      <c r="A3" s="178"/>
      <c r="B3" s="69"/>
      <c r="C3" s="69"/>
      <c r="D3" s="179"/>
      <c r="E3" s="70"/>
      <c r="I3" s="69"/>
      <c r="J3" s="207"/>
    </row>
    <row r="4" spans="1:10" x14ac:dyDescent="0.25">
      <c r="B4" s="69"/>
      <c r="C4" s="69"/>
      <c r="D4" s="179"/>
      <c r="E4" s="70"/>
    </row>
    <row r="5" spans="1:10" x14ac:dyDescent="0.25">
      <c r="B5" s="69"/>
      <c r="C5" s="69"/>
      <c r="D5" s="179"/>
      <c r="E5" s="70"/>
    </row>
    <row r="6" spans="1:10" x14ac:dyDescent="0.25">
      <c r="B6" s="69"/>
      <c r="C6" s="69"/>
      <c r="D6" s="179"/>
      <c r="E6" s="70"/>
    </row>
    <row r="7" spans="1:10" x14ac:dyDescent="0.25">
      <c r="B7" s="69"/>
      <c r="C7" s="69"/>
      <c r="D7" s="179"/>
      <c r="E7" s="70"/>
    </row>
    <row r="8" spans="1:10" x14ac:dyDescent="0.25">
      <c r="B8" s="69"/>
      <c r="C8" s="69"/>
      <c r="D8" s="179"/>
      <c r="E8" s="70"/>
    </row>
    <row r="9" spans="1:10" x14ac:dyDescent="0.25">
      <c r="E9" s="193"/>
    </row>
    <row r="10" spans="1:10" x14ac:dyDescent="0.25">
      <c r="A10" s="194"/>
      <c r="B10" s="69"/>
      <c r="C10" s="69"/>
      <c r="D10" s="179"/>
      <c r="E10" s="70"/>
      <c r="F10" s="168"/>
      <c r="G10" s="169"/>
    </row>
    <row r="11" spans="1:10" x14ac:dyDescent="0.25">
      <c r="B11" s="69"/>
      <c r="C11" s="69"/>
      <c r="D11" s="179"/>
      <c r="E11" s="70"/>
      <c r="F11" s="170"/>
      <c r="G11" s="169"/>
    </row>
    <row r="12" spans="1:10" x14ac:dyDescent="0.25">
      <c r="B12" s="69"/>
      <c r="C12" s="69"/>
      <c r="D12" s="179"/>
      <c r="E12" s="70"/>
      <c r="F12" s="170"/>
      <c r="G12" s="169"/>
    </row>
    <row r="13" spans="1:10" x14ac:dyDescent="0.25">
      <c r="B13" s="69"/>
      <c r="C13" s="69"/>
      <c r="D13" s="179"/>
      <c r="E13" s="70"/>
    </row>
    <row r="14" spans="1:10" x14ac:dyDescent="0.25">
      <c r="B14" s="69"/>
      <c r="C14" s="69"/>
      <c r="D14" s="179"/>
      <c r="E14" s="70"/>
    </row>
    <row r="15" spans="1:10" x14ac:dyDescent="0.25">
      <c r="B15" s="69"/>
      <c r="C15" s="69"/>
      <c r="D15" s="179"/>
      <c r="E15" s="70"/>
    </row>
    <row r="16" spans="1:10" x14ac:dyDescent="0.25">
      <c r="E16" s="193"/>
    </row>
    <row r="17" spans="1:7" x14ac:dyDescent="0.25">
      <c r="A17" s="178"/>
      <c r="B17" s="69"/>
      <c r="C17" s="69"/>
      <c r="D17" s="179"/>
      <c r="E17" s="70"/>
    </row>
    <row r="18" spans="1:7" x14ac:dyDescent="0.25">
      <c r="E18" s="193"/>
    </row>
    <row r="19" spans="1:7" x14ac:dyDescent="0.25">
      <c r="A19" s="178"/>
      <c r="B19" s="69"/>
      <c r="C19" s="69"/>
      <c r="D19" s="179"/>
      <c r="E19" s="70"/>
      <c r="F19" s="170"/>
      <c r="G19" s="169"/>
    </row>
    <row r="20" spans="1:7" x14ac:dyDescent="0.25">
      <c r="B20" s="69"/>
      <c r="C20" s="69"/>
      <c r="D20" s="179"/>
      <c r="E20" s="70"/>
    </row>
    <row r="21" spans="1:7" x14ac:dyDescent="0.25">
      <c r="B21" s="69"/>
      <c r="C21" s="69"/>
      <c r="D21" s="179"/>
      <c r="E21" s="70"/>
    </row>
    <row r="22" spans="1:7" x14ac:dyDescent="0.25">
      <c r="E22" s="192"/>
    </row>
    <row r="23" spans="1:7" x14ac:dyDescent="0.25">
      <c r="A23" s="178"/>
      <c r="B23" s="69"/>
      <c r="C23" s="69"/>
      <c r="D23" s="179"/>
      <c r="E23" s="70"/>
    </row>
    <row r="24" spans="1:7" x14ac:dyDescent="0.25">
      <c r="B24" s="69"/>
      <c r="C24" s="69"/>
      <c r="D24" s="179"/>
      <c r="E24" s="70"/>
    </row>
    <row r="25" spans="1:7" x14ac:dyDescent="0.25">
      <c r="B25" s="69"/>
      <c r="C25" s="69"/>
      <c r="D25" s="179"/>
      <c r="E25" s="70"/>
    </row>
    <row r="26" spans="1:7" x14ac:dyDescent="0.25">
      <c r="E26" s="191"/>
    </row>
    <row r="27" spans="1:7" x14ac:dyDescent="0.25">
      <c r="A27" s="178"/>
      <c r="B27" s="69"/>
      <c r="C27" s="69"/>
      <c r="D27" s="179"/>
      <c r="E27" s="70"/>
      <c r="F27" s="170"/>
      <c r="G27" s="169"/>
    </row>
    <row r="28" spans="1:7" x14ac:dyDescent="0.25">
      <c r="B28" s="69"/>
      <c r="C28" s="69"/>
      <c r="D28" s="179"/>
      <c r="E28" s="70"/>
      <c r="F28" s="170"/>
      <c r="G28" s="169"/>
    </row>
    <row r="29" spans="1:7" x14ac:dyDescent="0.25">
      <c r="B29" s="69"/>
      <c r="C29" s="69"/>
      <c r="D29" s="179"/>
      <c r="E29" s="70"/>
    </row>
    <row r="30" spans="1:7" x14ac:dyDescent="0.25">
      <c r="B30" s="69"/>
      <c r="C30" s="69"/>
      <c r="D30" s="179"/>
      <c r="E30" s="70"/>
    </row>
    <row r="31" spans="1:7" x14ac:dyDescent="0.25">
      <c r="E31" s="208"/>
    </row>
    <row r="32" spans="1:7" x14ac:dyDescent="0.25">
      <c r="A32" s="178"/>
      <c r="B32" s="69"/>
      <c r="C32" s="69"/>
      <c r="D32" s="69"/>
      <c r="E32" s="69"/>
      <c r="F32" s="69"/>
    </row>
    <row r="33" spans="1:6" x14ac:dyDescent="0.25">
      <c r="B33" s="69"/>
      <c r="C33" s="69"/>
      <c r="D33" s="178"/>
      <c r="E33" s="178"/>
      <c r="F33" s="179"/>
    </row>
    <row r="34" spans="1:6" x14ac:dyDescent="0.25">
      <c r="B34" s="69"/>
      <c r="C34" s="69"/>
      <c r="D34" s="178"/>
      <c r="E34" s="178"/>
      <c r="F34" s="179"/>
    </row>
    <row r="35" spans="1:6" x14ac:dyDescent="0.25">
      <c r="B35" s="69"/>
      <c r="C35" s="69"/>
      <c r="D35" s="178"/>
      <c r="E35" s="178"/>
      <c r="F35" s="179"/>
    </row>
    <row r="36" spans="1:6" x14ac:dyDescent="0.25">
      <c r="B36" s="69"/>
      <c r="C36" s="69"/>
      <c r="D36" s="178"/>
      <c r="E36" s="178"/>
      <c r="F36" s="179"/>
    </row>
    <row r="37" spans="1:6" x14ac:dyDescent="0.25">
      <c r="B37" s="69"/>
      <c r="C37" s="69"/>
      <c r="D37" s="178"/>
      <c r="E37" s="178"/>
      <c r="F37" s="179"/>
    </row>
    <row r="38" spans="1:6" x14ac:dyDescent="0.25">
      <c r="B38" s="69"/>
      <c r="C38" s="69"/>
      <c r="D38" s="178"/>
      <c r="E38" s="178"/>
      <c r="F38" s="179"/>
    </row>
    <row r="39" spans="1:6" x14ac:dyDescent="0.25">
      <c r="B39" s="69"/>
      <c r="C39" s="69"/>
      <c r="D39" s="178"/>
      <c r="E39" s="178"/>
      <c r="F39" s="179"/>
    </row>
    <row r="40" spans="1:6" x14ac:dyDescent="0.25">
      <c r="B40" s="69"/>
      <c r="C40" s="69"/>
      <c r="D40" s="178"/>
      <c r="E40" s="178"/>
      <c r="F40" s="179"/>
    </row>
    <row r="41" spans="1:6" x14ac:dyDescent="0.25">
      <c r="B41" s="69"/>
      <c r="C41" s="69"/>
      <c r="D41" s="178"/>
      <c r="E41" s="178"/>
      <c r="F41" s="179"/>
    </row>
    <row r="42" spans="1:6" x14ac:dyDescent="0.25">
      <c r="B42" s="69"/>
      <c r="C42" s="69"/>
      <c r="D42" s="178"/>
      <c r="E42" s="69"/>
      <c r="F42" s="179"/>
    </row>
    <row r="43" spans="1:6" x14ac:dyDescent="0.25">
      <c r="B43" s="69"/>
      <c r="C43" s="69"/>
      <c r="D43" s="178"/>
      <c r="E43" s="69"/>
      <c r="F43" s="179"/>
    </row>
    <row r="44" spans="1:6" x14ac:dyDescent="0.25">
      <c r="A44" s="178"/>
      <c r="B44" s="69"/>
      <c r="C44" s="69"/>
      <c r="D44" s="178"/>
      <c r="E44" s="69"/>
      <c r="F44" s="210"/>
    </row>
    <row r="45" spans="1:6" x14ac:dyDescent="0.25">
      <c r="B45" s="69"/>
      <c r="C45" s="69"/>
      <c r="D45" s="178"/>
      <c r="E45" s="69"/>
      <c r="F45" s="210"/>
    </row>
    <row r="46" spans="1:6" x14ac:dyDescent="0.25">
      <c r="F46" s="211"/>
    </row>
    <row r="47" spans="1:6" x14ac:dyDescent="0.25">
      <c r="A47" s="178"/>
      <c r="B47" s="69"/>
      <c r="C47" s="69"/>
      <c r="D47" s="178"/>
      <c r="E47" s="69"/>
      <c r="F47" s="210"/>
    </row>
    <row r="48" spans="1:6" x14ac:dyDescent="0.25">
      <c r="B48" s="69"/>
      <c r="C48" s="69"/>
      <c r="D48" s="178"/>
      <c r="E48" s="69"/>
      <c r="F48" s="210"/>
    </row>
    <row r="49" spans="1:6" x14ac:dyDescent="0.25">
      <c r="B49" s="69"/>
      <c r="C49" s="69"/>
      <c r="D49" s="178"/>
      <c r="E49" s="69"/>
      <c r="F49" s="210"/>
    </row>
    <row r="50" spans="1:6" x14ac:dyDescent="0.25">
      <c r="F50" s="211"/>
    </row>
    <row r="51" spans="1:6" x14ac:dyDescent="0.25">
      <c r="A51" s="178"/>
      <c r="B51" s="69"/>
      <c r="C51" s="69"/>
      <c r="D51" s="178"/>
      <c r="E51" s="69"/>
      <c r="F51" s="210"/>
    </row>
    <row r="52" spans="1:6" x14ac:dyDescent="0.25">
      <c r="B52" s="69"/>
      <c r="C52" s="69"/>
      <c r="D52" s="178"/>
      <c r="E52" s="69"/>
      <c r="F52" s="210"/>
    </row>
    <row r="53" spans="1:6" x14ac:dyDescent="0.25">
      <c r="B53" s="69"/>
      <c r="C53" s="69"/>
      <c r="D53" s="178"/>
      <c r="E53" s="69"/>
      <c r="F53" s="210"/>
    </row>
    <row r="54" spans="1:6" x14ac:dyDescent="0.25">
      <c r="B54" s="188"/>
      <c r="C54" s="69"/>
      <c r="D54" s="69"/>
      <c r="E54" s="69"/>
      <c r="F54" s="179"/>
    </row>
    <row r="55" spans="1:6" x14ac:dyDescent="0.25">
      <c r="B55" s="188"/>
      <c r="C55" s="69"/>
      <c r="D55" s="69"/>
      <c r="E55" s="69"/>
      <c r="F55" s="179"/>
    </row>
    <row r="56" spans="1:6" x14ac:dyDescent="0.25">
      <c r="F56" s="211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2"/>
  <dimension ref="A3:O71"/>
  <sheetViews>
    <sheetView showGridLines="0" topLeftCell="E2" workbookViewId="0">
      <selection activeCell="O4" sqref="O4"/>
    </sheetView>
  </sheetViews>
  <sheetFormatPr defaultRowHeight="15" x14ac:dyDescent="0.25"/>
  <cols>
    <col min="1" max="1" width="15.28515625" bestFit="1" customWidth="1"/>
    <col min="2" max="2" width="10.7109375" bestFit="1" customWidth="1"/>
    <col min="3" max="3" width="39" bestFit="1" customWidth="1"/>
    <col min="4" max="5" width="31.7109375" customWidth="1"/>
    <col min="6" max="6" width="12.5703125" style="169" customWidth="1"/>
    <col min="7" max="7" width="19.28515625" customWidth="1"/>
    <col min="8" max="8" width="18" customWidth="1"/>
    <col min="9" max="9" width="12.5703125" style="169" bestFit="1" customWidth="1"/>
    <col min="10" max="10" width="15.7109375" bestFit="1" customWidth="1"/>
    <col min="11" max="11" width="9.85546875" bestFit="1" customWidth="1"/>
    <col min="12" max="12" width="19.42578125" bestFit="1" customWidth="1"/>
    <col min="14" max="14" width="24.28515625" bestFit="1" customWidth="1"/>
    <col min="15" max="15" width="13.85546875" bestFit="1" customWidth="1"/>
  </cols>
  <sheetData>
    <row r="3" spans="1:15" ht="23.25" x14ac:dyDescent="0.35">
      <c r="A3" s="171" t="s">
        <v>145</v>
      </c>
      <c r="B3" s="171" t="s">
        <v>85</v>
      </c>
      <c r="C3" s="171" t="s">
        <v>152</v>
      </c>
      <c r="D3" s="171" t="s">
        <v>24</v>
      </c>
      <c r="E3" s="171" t="s">
        <v>158</v>
      </c>
      <c r="F3" s="172" t="s">
        <v>146</v>
      </c>
      <c r="G3" s="171" t="s">
        <v>144</v>
      </c>
      <c r="H3" s="171" t="s">
        <v>148</v>
      </c>
      <c r="I3" s="172" t="s">
        <v>20</v>
      </c>
      <c r="K3" s="323" t="s">
        <v>150</v>
      </c>
      <c r="L3" s="323"/>
      <c r="N3" s="323" t="s">
        <v>157</v>
      </c>
      <c r="O3" s="323"/>
    </row>
    <row r="4" spans="1:15" ht="21" x14ac:dyDescent="0.35">
      <c r="A4" s="180">
        <v>1</v>
      </c>
      <c r="B4" s="174"/>
      <c r="C4" s="173"/>
      <c r="D4" s="173"/>
      <c r="E4" s="173"/>
      <c r="F4" s="175"/>
      <c r="G4" s="173"/>
      <c r="H4" s="197"/>
      <c r="I4" s="183"/>
      <c r="K4" s="185" t="s">
        <v>149</v>
      </c>
      <c r="L4" s="186">
        <f>SUMIF(H4:H200,"Fabio",I4:I200)</f>
        <v>0</v>
      </c>
      <c r="N4" s="195" t="s">
        <v>125</v>
      </c>
      <c r="O4" s="179"/>
    </row>
    <row r="5" spans="1:15" ht="21" x14ac:dyDescent="0.35">
      <c r="A5" s="180">
        <v>1</v>
      </c>
      <c r="B5" s="174"/>
      <c r="C5" s="173"/>
      <c r="D5" s="173"/>
      <c r="E5" s="173"/>
      <c r="F5" s="175"/>
      <c r="G5" s="173"/>
      <c r="H5" s="197"/>
      <c r="I5" s="183"/>
      <c r="K5" s="185" t="s">
        <v>147</v>
      </c>
      <c r="L5" s="186">
        <f>SUMIF(H4:H270,"Sandro",I4:I270)+SUM(L17:L21)</f>
        <v>0</v>
      </c>
      <c r="N5" s="195" t="s">
        <v>159</v>
      </c>
      <c r="O5" s="179">
        <f>SUMIF($E$4:$E300,N5,$I$4:$I$300)</f>
        <v>0</v>
      </c>
    </row>
    <row r="6" spans="1:15" ht="21" x14ac:dyDescent="0.35">
      <c r="A6" s="180">
        <v>1</v>
      </c>
      <c r="B6" s="174"/>
      <c r="C6" s="173"/>
      <c r="D6" s="173"/>
      <c r="E6" s="173"/>
      <c r="F6" s="175"/>
      <c r="G6" s="173"/>
      <c r="H6" s="197"/>
      <c r="I6" s="183"/>
      <c r="K6" s="185" t="s">
        <v>20</v>
      </c>
      <c r="L6" s="186">
        <f>SUM(L4:L5)</f>
        <v>0</v>
      </c>
      <c r="N6" s="195" t="s">
        <v>161</v>
      </c>
      <c r="O6" s="179">
        <f>SUMIF($E$4:$E300,N6,$I$4:$I$300)</f>
        <v>0</v>
      </c>
    </row>
    <row r="7" spans="1:15" x14ac:dyDescent="0.25">
      <c r="A7" s="180">
        <v>2</v>
      </c>
      <c r="B7" s="174"/>
      <c r="C7" s="173"/>
      <c r="D7" s="173"/>
      <c r="E7" s="173"/>
      <c r="F7" s="175"/>
      <c r="G7" s="173"/>
      <c r="H7" s="197"/>
      <c r="I7" s="183"/>
      <c r="N7" s="195" t="s">
        <v>160</v>
      </c>
      <c r="O7" s="179">
        <f>SUMIF($E$4:$E300,N7,$I$4:$I$300)</f>
        <v>0</v>
      </c>
    </row>
    <row r="8" spans="1:15" x14ac:dyDescent="0.25">
      <c r="A8" s="180">
        <v>3</v>
      </c>
      <c r="B8" s="174"/>
      <c r="C8" s="173"/>
      <c r="D8" s="173"/>
      <c r="E8" s="173"/>
      <c r="F8" s="175"/>
      <c r="G8" s="173"/>
      <c r="H8" s="197"/>
      <c r="I8" s="183"/>
      <c r="N8" s="206" t="s">
        <v>131</v>
      </c>
      <c r="O8" s="179">
        <f>SUMIF($E$4:$E300,N8,$I$4:$I$300)</f>
        <v>0</v>
      </c>
    </row>
    <row r="9" spans="1:15" x14ac:dyDescent="0.25">
      <c r="A9" s="180">
        <v>4</v>
      </c>
      <c r="B9" s="174"/>
      <c r="C9" s="173"/>
      <c r="D9" s="173"/>
      <c r="E9" s="173"/>
      <c r="F9" s="175"/>
      <c r="G9" s="173"/>
      <c r="H9" s="167"/>
      <c r="I9" s="183"/>
      <c r="N9" s="206" t="s">
        <v>163</v>
      </c>
      <c r="O9" s="179">
        <f>SUMIF($E$4:$E300,N9,$I$4:$I$300)</f>
        <v>0</v>
      </c>
    </row>
    <row r="10" spans="1:15" x14ac:dyDescent="0.25">
      <c r="A10" s="180">
        <v>5</v>
      </c>
      <c r="B10" s="174"/>
      <c r="C10" s="173"/>
      <c r="D10" s="173"/>
      <c r="E10" s="173"/>
      <c r="F10" s="175"/>
      <c r="G10" s="173"/>
      <c r="H10" s="167"/>
      <c r="I10" s="183"/>
      <c r="N10" s="206" t="s">
        <v>162</v>
      </c>
      <c r="O10" s="179">
        <f>SUMIF($E$4:$E300,N10,$I$4:$I$300)</f>
        <v>0</v>
      </c>
    </row>
    <row r="11" spans="1:15" x14ac:dyDescent="0.25">
      <c r="A11" s="180">
        <v>6</v>
      </c>
      <c r="B11" s="174"/>
      <c r="C11" s="173"/>
      <c r="D11" s="173"/>
      <c r="E11" s="173"/>
      <c r="F11" s="176"/>
      <c r="G11" s="177"/>
      <c r="H11" s="197"/>
      <c r="I11" s="183"/>
    </row>
    <row r="12" spans="1:15" x14ac:dyDescent="0.25">
      <c r="A12" s="180">
        <v>7</v>
      </c>
      <c r="B12" s="178"/>
      <c r="C12" s="69"/>
      <c r="D12" s="69"/>
      <c r="E12" s="173"/>
      <c r="F12" s="184"/>
      <c r="G12" s="69"/>
      <c r="H12" s="197"/>
      <c r="I12" s="184"/>
    </row>
    <row r="13" spans="1:15" x14ac:dyDescent="0.25">
      <c r="A13" s="181">
        <v>8</v>
      </c>
      <c r="B13" s="178"/>
      <c r="C13" s="69"/>
      <c r="D13" s="69"/>
      <c r="E13" s="69"/>
      <c r="F13" s="184"/>
      <c r="G13" s="69"/>
      <c r="H13" s="197"/>
      <c r="I13" s="184"/>
    </row>
    <row r="14" spans="1:15" x14ac:dyDescent="0.25">
      <c r="A14" s="181">
        <v>9</v>
      </c>
      <c r="B14" s="178"/>
      <c r="C14" s="69"/>
      <c r="D14" s="69"/>
      <c r="E14" s="173"/>
      <c r="F14" s="184"/>
      <c r="G14" s="69"/>
      <c r="H14" s="197"/>
      <c r="I14" s="184"/>
    </row>
    <row r="15" spans="1:15" x14ac:dyDescent="0.25">
      <c r="A15" s="181">
        <v>10</v>
      </c>
      <c r="B15" s="178"/>
      <c r="C15" s="69"/>
      <c r="D15" s="69"/>
      <c r="E15" s="173"/>
      <c r="F15" s="184"/>
      <c r="G15" s="69"/>
      <c r="H15" s="197"/>
      <c r="I15" s="184"/>
    </row>
    <row r="16" spans="1:15" x14ac:dyDescent="0.25">
      <c r="A16" s="181">
        <v>11</v>
      </c>
      <c r="B16" s="178"/>
      <c r="C16" s="69"/>
      <c r="D16" s="69"/>
      <c r="E16" s="173"/>
      <c r="F16" s="184"/>
      <c r="G16" s="69"/>
      <c r="H16" s="197"/>
      <c r="I16" s="184"/>
    </row>
    <row r="17" spans="1:9" x14ac:dyDescent="0.25">
      <c r="A17" s="181">
        <v>12</v>
      </c>
      <c r="B17" s="178"/>
      <c r="C17" s="69"/>
      <c r="D17" s="69"/>
      <c r="E17" s="69"/>
      <c r="F17" s="179"/>
      <c r="G17" s="69"/>
      <c r="H17" s="167"/>
      <c r="I17" s="184"/>
    </row>
    <row r="18" spans="1:9" x14ac:dyDescent="0.25">
      <c r="A18" s="181">
        <v>13</v>
      </c>
      <c r="B18" s="178"/>
      <c r="C18" s="69"/>
      <c r="D18" s="69"/>
      <c r="E18" s="69"/>
      <c r="F18" s="179"/>
      <c r="G18" s="69"/>
      <c r="H18" s="187"/>
      <c r="I18" s="184"/>
    </row>
    <row r="19" spans="1:9" x14ac:dyDescent="0.25">
      <c r="A19" s="181">
        <v>13</v>
      </c>
      <c r="B19" s="178"/>
      <c r="C19" s="69"/>
      <c r="D19" s="69"/>
      <c r="E19" s="69"/>
      <c r="F19" s="179"/>
      <c r="G19" s="69"/>
      <c r="H19" s="187"/>
      <c r="I19" s="184"/>
    </row>
    <row r="20" spans="1:9" x14ac:dyDescent="0.25">
      <c r="A20" s="181">
        <v>13</v>
      </c>
      <c r="B20" s="178"/>
      <c r="C20" s="69"/>
      <c r="D20" s="69"/>
      <c r="E20" s="69"/>
      <c r="F20" s="179"/>
      <c r="G20" s="69"/>
      <c r="H20" s="167"/>
      <c r="I20" s="184"/>
    </row>
    <row r="21" spans="1:9" x14ac:dyDescent="0.25">
      <c r="A21" s="181">
        <v>14</v>
      </c>
      <c r="B21" s="178"/>
      <c r="C21" s="188"/>
      <c r="D21" s="188"/>
      <c r="E21" s="173"/>
      <c r="F21" s="179"/>
      <c r="G21" s="188"/>
      <c r="H21" s="187"/>
      <c r="I21" s="184"/>
    </row>
    <row r="22" spans="1:9" x14ac:dyDescent="0.25">
      <c r="A22" s="181">
        <v>15</v>
      </c>
      <c r="B22" s="178"/>
      <c r="C22" s="188"/>
      <c r="D22" s="188"/>
      <c r="E22" s="173"/>
      <c r="F22" s="179"/>
      <c r="G22" s="188"/>
      <c r="H22" s="187"/>
      <c r="I22" s="184"/>
    </row>
    <row r="23" spans="1:9" x14ac:dyDescent="0.25">
      <c r="A23" s="189">
        <v>16</v>
      </c>
      <c r="B23" s="178"/>
      <c r="C23" s="188"/>
      <c r="D23" s="188"/>
      <c r="E23" s="188"/>
      <c r="F23" s="179"/>
      <c r="G23" s="188"/>
      <c r="H23" s="190"/>
      <c r="I23" s="179"/>
    </row>
    <row r="24" spans="1:9" x14ac:dyDescent="0.25">
      <c r="A24" s="189">
        <v>17</v>
      </c>
      <c r="B24" s="178"/>
      <c r="C24" s="188"/>
      <c r="D24" s="188"/>
      <c r="E24" s="173"/>
      <c r="F24" s="179"/>
      <c r="G24" s="188"/>
      <c r="H24" s="190"/>
      <c r="I24" s="179"/>
    </row>
    <row r="25" spans="1:9" x14ac:dyDescent="0.25">
      <c r="A25" s="189">
        <v>18</v>
      </c>
      <c r="B25" s="178"/>
      <c r="C25" s="188"/>
      <c r="D25" s="188"/>
      <c r="E25" s="173"/>
      <c r="F25" s="179"/>
      <c r="G25" s="188"/>
      <c r="H25" s="190"/>
      <c r="I25" s="179"/>
    </row>
    <row r="26" spans="1:9" x14ac:dyDescent="0.25">
      <c r="A26" s="189">
        <v>19</v>
      </c>
      <c r="B26" s="178"/>
      <c r="C26" s="188"/>
      <c r="D26" s="188"/>
      <c r="E26" s="188"/>
      <c r="F26" s="179"/>
      <c r="G26" s="188"/>
      <c r="H26" s="190"/>
      <c r="I26" s="179"/>
    </row>
    <row r="27" spans="1:9" x14ac:dyDescent="0.25">
      <c r="A27" s="189">
        <v>20</v>
      </c>
      <c r="B27" s="178"/>
      <c r="C27" s="188"/>
      <c r="D27" s="188"/>
      <c r="E27" s="188"/>
      <c r="F27" s="179"/>
      <c r="G27" s="188"/>
      <c r="H27" s="190"/>
      <c r="I27" s="179"/>
    </row>
    <row r="28" spans="1:9" x14ac:dyDescent="0.25">
      <c r="A28" s="189">
        <v>21</v>
      </c>
      <c r="B28" s="178"/>
      <c r="C28" s="188"/>
      <c r="D28" s="69"/>
      <c r="E28" s="69"/>
      <c r="F28" s="179"/>
      <c r="G28" s="69"/>
      <c r="H28" s="190"/>
      <c r="I28" s="179"/>
    </row>
    <row r="29" spans="1:9" x14ac:dyDescent="0.25">
      <c r="A29" s="189">
        <v>22</v>
      </c>
      <c r="B29" s="178"/>
      <c r="C29" s="188"/>
      <c r="D29" s="69"/>
      <c r="E29" s="69"/>
      <c r="F29" s="179"/>
      <c r="G29" s="188"/>
      <c r="H29" s="190"/>
      <c r="I29" s="179"/>
    </row>
    <row r="30" spans="1:9" x14ac:dyDescent="0.25">
      <c r="A30" s="189">
        <v>23</v>
      </c>
      <c r="B30" s="178"/>
      <c r="C30" s="188"/>
      <c r="D30" s="69"/>
      <c r="E30" s="173"/>
      <c r="F30" s="179"/>
      <c r="G30" s="188"/>
      <c r="H30" s="190"/>
      <c r="I30" s="179"/>
    </row>
    <row r="31" spans="1:9" x14ac:dyDescent="0.25">
      <c r="A31" s="189">
        <v>24</v>
      </c>
      <c r="B31" s="178"/>
      <c r="C31" s="188"/>
      <c r="D31" s="69"/>
      <c r="E31" s="69"/>
      <c r="F31" s="179"/>
      <c r="G31" s="188"/>
      <c r="H31" s="190"/>
      <c r="I31" s="179"/>
    </row>
    <row r="32" spans="1:9" x14ac:dyDescent="0.25">
      <c r="A32" s="198">
        <v>25</v>
      </c>
      <c r="B32" s="178"/>
      <c r="C32" s="188"/>
      <c r="D32" s="69"/>
      <c r="E32" s="173"/>
      <c r="F32" s="179"/>
      <c r="G32" s="188"/>
      <c r="H32" s="190"/>
      <c r="I32" s="179"/>
    </row>
    <row r="33" spans="1:11" x14ac:dyDescent="0.25">
      <c r="A33" s="198">
        <v>26</v>
      </c>
      <c r="B33" s="178"/>
      <c r="C33" s="188"/>
      <c r="D33" s="69"/>
      <c r="E33" s="173"/>
      <c r="F33" s="179"/>
      <c r="G33" s="188"/>
      <c r="H33" s="190"/>
      <c r="I33" s="179"/>
    </row>
    <row r="34" spans="1:11" x14ac:dyDescent="0.25">
      <c r="A34" s="198">
        <v>27</v>
      </c>
      <c r="B34" s="178"/>
      <c r="C34" s="188"/>
      <c r="D34" s="69"/>
      <c r="E34" s="173"/>
      <c r="F34" s="179"/>
      <c r="G34" s="188"/>
      <c r="H34" s="190"/>
      <c r="I34" s="179"/>
    </row>
    <row r="35" spans="1:11" x14ac:dyDescent="0.25">
      <c r="A35" s="198">
        <v>28</v>
      </c>
      <c r="B35" s="178"/>
      <c r="C35" s="188"/>
      <c r="D35" s="188"/>
      <c r="E35" s="188"/>
      <c r="F35" s="179"/>
      <c r="G35" s="188"/>
      <c r="H35" s="190"/>
      <c r="I35" s="179"/>
    </row>
    <row r="36" spans="1:11" x14ac:dyDescent="0.25">
      <c r="A36" s="181">
        <v>29</v>
      </c>
      <c r="B36" s="178"/>
      <c r="C36" s="188"/>
      <c r="D36" s="188"/>
      <c r="E36" s="188"/>
      <c r="F36" s="179"/>
      <c r="G36" s="69"/>
      <c r="H36" s="190"/>
      <c r="I36" s="179"/>
    </row>
    <row r="37" spans="1:11" x14ac:dyDescent="0.25">
      <c r="A37" s="198">
        <v>30</v>
      </c>
      <c r="B37" s="178"/>
      <c r="C37" s="188"/>
      <c r="D37" s="188"/>
      <c r="E37" s="188"/>
      <c r="F37" s="179"/>
      <c r="G37" s="69"/>
      <c r="H37" s="190"/>
      <c r="I37" s="179"/>
    </row>
    <row r="38" spans="1:11" x14ac:dyDescent="0.25">
      <c r="A38" s="198">
        <v>31</v>
      </c>
      <c r="B38" s="178"/>
      <c r="C38" s="188"/>
      <c r="D38" s="188"/>
      <c r="E38" s="188"/>
      <c r="F38" s="179"/>
      <c r="G38" s="69"/>
      <c r="H38" s="190"/>
      <c r="I38" s="179"/>
    </row>
    <row r="39" spans="1:11" x14ac:dyDescent="0.25">
      <c r="A39" s="198">
        <v>32</v>
      </c>
      <c r="B39" s="178"/>
      <c r="C39" s="188"/>
      <c r="D39" s="188"/>
      <c r="E39" s="188"/>
      <c r="F39" s="179"/>
      <c r="G39" s="69"/>
      <c r="H39" s="190"/>
      <c r="I39" s="179"/>
    </row>
    <row r="40" spans="1:11" x14ac:dyDescent="0.25">
      <c r="A40" s="198">
        <v>33</v>
      </c>
      <c r="B40" s="178"/>
      <c r="C40" s="188"/>
      <c r="D40" s="188"/>
      <c r="E40" s="188"/>
      <c r="F40" s="179"/>
      <c r="G40" s="69"/>
      <c r="H40" s="190"/>
      <c r="I40" s="179"/>
    </row>
    <row r="41" spans="1:11" x14ac:dyDescent="0.25">
      <c r="A41" s="198">
        <v>34</v>
      </c>
      <c r="B41" s="178"/>
      <c r="C41" s="188"/>
      <c r="D41" s="188"/>
      <c r="E41" s="188"/>
      <c r="F41" s="179"/>
      <c r="G41" s="69"/>
      <c r="H41" s="190"/>
      <c r="I41" s="179"/>
    </row>
    <row r="42" spans="1:11" x14ac:dyDescent="0.25">
      <c r="A42" s="198">
        <v>35</v>
      </c>
      <c r="B42" s="178"/>
      <c r="C42" s="188"/>
      <c r="D42" s="188"/>
      <c r="E42" s="188"/>
      <c r="F42" s="179"/>
      <c r="G42" s="69"/>
      <c r="H42" s="190"/>
      <c r="I42" s="179"/>
      <c r="K42" s="205">
        <f>75.99/987.87</f>
        <v>7.6923076923076913E-2</v>
      </c>
    </row>
    <row r="43" spans="1:11" x14ac:dyDescent="0.25">
      <c r="A43" s="198">
        <v>36</v>
      </c>
      <c r="B43" s="178"/>
      <c r="C43" s="188"/>
      <c r="D43" s="188"/>
      <c r="E43" s="188"/>
      <c r="F43" s="179"/>
      <c r="G43" s="69"/>
      <c r="H43" s="190"/>
      <c r="I43" s="179"/>
    </row>
    <row r="44" spans="1:11" x14ac:dyDescent="0.25">
      <c r="A44" s="198">
        <v>37</v>
      </c>
      <c r="B44" s="178"/>
      <c r="C44" s="188"/>
      <c r="D44" s="188"/>
      <c r="E44" s="188"/>
      <c r="F44" s="179"/>
      <c r="G44" s="69"/>
      <c r="H44" s="190"/>
      <c r="I44" s="179"/>
    </row>
    <row r="45" spans="1:11" x14ac:dyDescent="0.25">
      <c r="A45" s="198">
        <v>38</v>
      </c>
      <c r="B45" s="178"/>
      <c r="C45" s="188"/>
      <c r="D45" s="188"/>
      <c r="E45" s="188"/>
      <c r="F45" s="179"/>
      <c r="G45" s="69"/>
      <c r="H45" s="190"/>
      <c r="I45" s="179"/>
    </row>
    <row r="46" spans="1:11" x14ac:dyDescent="0.25">
      <c r="A46" s="198">
        <v>39</v>
      </c>
      <c r="B46" s="178"/>
      <c r="C46" s="188"/>
      <c r="D46" s="188"/>
      <c r="E46" s="188"/>
      <c r="F46" s="179"/>
      <c r="G46" s="69"/>
      <c r="H46" s="190"/>
      <c r="I46" s="179"/>
    </row>
    <row r="47" spans="1:11" x14ac:dyDescent="0.25">
      <c r="A47" s="198">
        <v>40</v>
      </c>
      <c r="B47" s="178"/>
      <c r="C47" s="188"/>
      <c r="D47" s="188"/>
      <c r="E47" s="188"/>
      <c r="F47" s="179"/>
      <c r="G47" s="188"/>
      <c r="H47" s="190"/>
      <c r="I47" s="179"/>
    </row>
    <row r="48" spans="1:11" x14ac:dyDescent="0.25">
      <c r="A48" s="198">
        <v>41</v>
      </c>
      <c r="B48" s="178"/>
      <c r="C48" s="188"/>
      <c r="D48" s="188"/>
      <c r="E48" s="188"/>
      <c r="F48" s="179"/>
      <c r="G48" s="188"/>
      <c r="H48" s="190"/>
      <c r="I48" s="179"/>
    </row>
    <row r="49" spans="1:9" x14ac:dyDescent="0.25">
      <c r="A49" s="198">
        <v>42</v>
      </c>
      <c r="B49" s="178"/>
      <c r="C49" s="188"/>
      <c r="D49" s="188"/>
      <c r="E49" s="188"/>
      <c r="F49" s="179"/>
      <c r="G49" s="188"/>
      <c r="H49" s="190"/>
      <c r="I49" s="179"/>
    </row>
    <row r="50" spans="1:9" x14ac:dyDescent="0.25">
      <c r="A50" s="198">
        <v>43</v>
      </c>
      <c r="B50" s="178"/>
      <c r="C50" s="188"/>
      <c r="D50" s="188"/>
      <c r="E50" s="188"/>
      <c r="F50" s="179"/>
      <c r="G50" s="188"/>
      <c r="H50" s="190"/>
      <c r="I50" s="179"/>
    </row>
    <row r="51" spans="1:9" x14ac:dyDescent="0.25">
      <c r="A51" s="198">
        <v>43</v>
      </c>
      <c r="B51" s="178"/>
      <c r="C51" s="188"/>
      <c r="D51" s="188"/>
      <c r="E51" s="188"/>
      <c r="F51" s="179"/>
      <c r="G51" s="188"/>
      <c r="H51" s="190"/>
      <c r="I51" s="179"/>
    </row>
    <row r="52" spans="1:9" x14ac:dyDescent="0.25">
      <c r="A52" s="198">
        <v>43</v>
      </c>
      <c r="B52" s="178"/>
      <c r="C52" s="188"/>
      <c r="D52" s="188"/>
      <c r="E52" s="188"/>
      <c r="F52" s="179"/>
      <c r="G52" s="188"/>
      <c r="H52" s="190"/>
      <c r="I52" s="179"/>
    </row>
    <row r="53" spans="1:9" x14ac:dyDescent="0.25">
      <c r="A53" s="198">
        <v>43</v>
      </c>
      <c r="B53" s="178"/>
      <c r="C53" s="188"/>
      <c r="D53" s="188"/>
      <c r="E53" s="188"/>
      <c r="F53" s="179"/>
      <c r="G53" s="188"/>
      <c r="H53" s="190"/>
      <c r="I53" s="179"/>
    </row>
    <row r="54" spans="1:9" x14ac:dyDescent="0.25">
      <c r="A54" s="198">
        <v>43</v>
      </c>
      <c r="B54" s="178"/>
      <c r="C54" s="188"/>
      <c r="D54" s="188"/>
      <c r="E54" s="188"/>
      <c r="F54" s="179"/>
      <c r="G54" s="188"/>
      <c r="H54" s="190"/>
      <c r="I54" s="179"/>
    </row>
    <row r="55" spans="1:9" x14ac:dyDescent="0.25">
      <c r="A55" s="198">
        <v>44</v>
      </c>
      <c r="B55" s="178"/>
      <c r="C55" s="188"/>
      <c r="D55" s="188"/>
      <c r="E55" s="188"/>
      <c r="F55" s="179"/>
      <c r="G55" s="188"/>
      <c r="H55" s="190"/>
      <c r="I55" s="179"/>
    </row>
    <row r="56" spans="1:9" x14ac:dyDescent="0.25">
      <c r="A56" s="198">
        <v>45</v>
      </c>
      <c r="B56" s="178"/>
      <c r="C56" s="188"/>
      <c r="D56" s="188"/>
      <c r="E56" s="188"/>
      <c r="F56" s="179"/>
      <c r="G56" s="188"/>
      <c r="H56" s="190"/>
      <c r="I56" s="179"/>
    </row>
    <row r="57" spans="1:9" x14ac:dyDescent="0.25">
      <c r="A57" s="198">
        <v>46</v>
      </c>
      <c r="B57" s="178"/>
      <c r="C57" s="188"/>
      <c r="D57" s="188"/>
      <c r="E57" s="188"/>
      <c r="F57" s="179"/>
      <c r="G57" s="188"/>
      <c r="H57" s="190"/>
      <c r="I57" s="179"/>
    </row>
    <row r="58" spans="1:9" x14ac:dyDescent="0.25">
      <c r="A58" s="198">
        <v>47</v>
      </c>
      <c r="B58" s="178"/>
      <c r="C58" s="188"/>
      <c r="D58" s="188"/>
      <c r="E58" s="188"/>
      <c r="F58" s="179"/>
      <c r="G58" s="188"/>
      <c r="H58" s="190"/>
      <c r="I58" s="179"/>
    </row>
    <row r="59" spans="1:9" x14ac:dyDescent="0.25">
      <c r="A59" s="198">
        <v>48</v>
      </c>
      <c r="B59" s="178"/>
      <c r="C59" s="188"/>
      <c r="D59" s="188"/>
      <c r="E59" s="188"/>
      <c r="F59" s="179"/>
      <c r="G59" s="188"/>
      <c r="H59" s="190"/>
      <c r="I59" s="179"/>
    </row>
    <row r="60" spans="1:9" x14ac:dyDescent="0.25">
      <c r="A60" s="198">
        <v>49</v>
      </c>
      <c r="B60" s="178"/>
      <c r="C60" s="188"/>
      <c r="D60" s="188"/>
      <c r="E60" s="188"/>
      <c r="F60" s="179"/>
      <c r="G60" s="188"/>
      <c r="H60" s="190"/>
      <c r="I60" s="179"/>
    </row>
    <row r="61" spans="1:9" x14ac:dyDescent="0.25">
      <c r="A61" s="69" t="s">
        <v>164</v>
      </c>
      <c r="B61" s="178"/>
      <c r="C61" s="188"/>
      <c r="D61" s="188"/>
      <c r="E61" s="188"/>
      <c r="F61" s="179"/>
      <c r="G61" s="69"/>
      <c r="H61" s="190"/>
      <c r="I61" s="179"/>
    </row>
    <row r="62" spans="1:9" x14ac:dyDescent="0.25">
      <c r="A62" s="69" t="s">
        <v>164</v>
      </c>
      <c r="B62" s="178"/>
      <c r="C62" s="188"/>
      <c r="D62" s="188"/>
      <c r="E62" s="188"/>
      <c r="F62" s="179"/>
      <c r="G62" s="69"/>
      <c r="H62" s="190"/>
      <c r="I62" s="179"/>
    </row>
    <row r="63" spans="1:9" x14ac:dyDescent="0.25">
      <c r="A63" s="69" t="s">
        <v>164</v>
      </c>
      <c r="B63" s="178"/>
      <c r="C63" s="188"/>
      <c r="D63" s="188"/>
      <c r="E63" s="188"/>
      <c r="F63" s="179"/>
      <c r="G63" s="69"/>
      <c r="H63" s="190"/>
      <c r="I63" s="179"/>
    </row>
    <row r="64" spans="1:9" x14ac:dyDescent="0.25">
      <c r="A64" s="69" t="s">
        <v>164</v>
      </c>
      <c r="B64" s="178"/>
      <c r="C64" s="188"/>
      <c r="D64" s="188"/>
      <c r="E64" s="188"/>
      <c r="F64" s="179"/>
      <c r="G64" s="69"/>
      <c r="H64" s="190"/>
      <c r="I64" s="179"/>
    </row>
    <row r="65" spans="1:9" x14ac:dyDescent="0.25">
      <c r="A65" s="69" t="s">
        <v>164</v>
      </c>
      <c r="B65" s="178"/>
      <c r="C65" s="188"/>
      <c r="D65" s="188"/>
      <c r="E65" s="188"/>
      <c r="F65" s="179"/>
      <c r="G65" s="69"/>
      <c r="H65" s="190"/>
      <c r="I65" s="179"/>
    </row>
    <row r="66" spans="1:9" x14ac:dyDescent="0.25">
      <c r="A66" s="69" t="s">
        <v>164</v>
      </c>
      <c r="B66" s="178"/>
      <c r="C66" s="188"/>
      <c r="D66" s="188"/>
      <c r="E66" s="188"/>
      <c r="F66" s="179"/>
      <c r="G66" s="69"/>
      <c r="H66" s="190"/>
      <c r="I66" s="179"/>
    </row>
    <row r="67" spans="1:9" x14ac:dyDescent="0.25">
      <c r="A67" s="69" t="s">
        <v>164</v>
      </c>
      <c r="B67" s="178"/>
      <c r="C67" s="188"/>
      <c r="D67" s="188"/>
      <c r="E67" s="188"/>
      <c r="F67" s="179"/>
      <c r="G67" s="69"/>
      <c r="H67" s="190"/>
      <c r="I67" s="179"/>
    </row>
    <row r="68" spans="1:9" x14ac:dyDescent="0.25">
      <c r="A68" s="69" t="s">
        <v>164</v>
      </c>
      <c r="B68" s="178"/>
      <c r="C68" s="188"/>
      <c r="D68" s="188"/>
      <c r="E68" s="188"/>
      <c r="F68" s="179"/>
      <c r="G68" s="69"/>
      <c r="H68" s="190"/>
      <c r="I68" s="179"/>
    </row>
    <row r="69" spans="1:9" x14ac:dyDescent="0.25">
      <c r="A69" s="69"/>
      <c r="B69" s="178"/>
      <c r="C69" s="188"/>
      <c r="D69" s="188"/>
      <c r="E69" s="188"/>
      <c r="F69" s="179"/>
      <c r="G69" s="188"/>
      <c r="H69" s="190"/>
      <c r="I69" s="179"/>
    </row>
    <row r="70" spans="1:9" x14ac:dyDescent="0.25">
      <c r="B70" s="168"/>
      <c r="C70" s="215"/>
      <c r="D70" s="215"/>
      <c r="E70" s="215"/>
      <c r="G70" s="215"/>
      <c r="H70" s="216"/>
    </row>
    <row r="71" spans="1:9" x14ac:dyDescent="0.25">
      <c r="B71" s="168"/>
    </row>
  </sheetData>
  <sortState xmlns:xlrd2="http://schemas.microsoft.com/office/spreadsheetml/2017/richdata2" ref="A4:G18">
    <sortCondition ref="B4"/>
  </sortState>
  <mergeCells count="2">
    <mergeCell ref="K3:L3"/>
    <mergeCell ref="N3:O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"/>
  <dimension ref="A1:B3"/>
  <sheetViews>
    <sheetView showGridLines="0" zoomScale="60" zoomScaleNormal="60" workbookViewId="0">
      <selection activeCell="B2" sqref="B2"/>
    </sheetView>
  </sheetViews>
  <sheetFormatPr defaultColWidth="0" defaultRowHeight="15" zeroHeight="1" x14ac:dyDescent="0.25"/>
  <cols>
    <col min="1" max="1" width="24.140625" bestFit="1" customWidth="1"/>
    <col min="2" max="2" width="27.28515625" customWidth="1"/>
    <col min="3" max="3" width="9.140625" hidden="1" customWidth="1"/>
    <col min="4" max="16384" width="9.140625" hidden="1"/>
  </cols>
  <sheetData>
    <row r="1" spans="1:2" ht="28.5" x14ac:dyDescent="0.45">
      <c r="A1" s="2" t="s">
        <v>0</v>
      </c>
      <c r="B1" s="2" t="s">
        <v>1</v>
      </c>
    </row>
    <row r="2" spans="1:2" ht="23.25" x14ac:dyDescent="0.35">
      <c r="A2" s="1" t="s">
        <v>8</v>
      </c>
      <c r="B2" s="1"/>
    </row>
    <row r="3" spans="1:2" ht="23.25" x14ac:dyDescent="0.35">
      <c r="A3" s="1" t="s">
        <v>9</v>
      </c>
      <c r="B3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</vt:i4>
      </vt:variant>
    </vt:vector>
  </HeadingPairs>
  <TitlesOfParts>
    <vt:vector size="14" baseType="lpstr">
      <vt:lpstr>ORÇAMENTO</vt:lpstr>
      <vt:lpstr>CUSTOS</vt:lpstr>
      <vt:lpstr>MENU</vt:lpstr>
      <vt:lpstr>GRAFICOS</vt:lpstr>
      <vt:lpstr>ORÇAMENTO MODELO</vt:lpstr>
      <vt:lpstr>CADASTRO</vt:lpstr>
      <vt:lpstr>RECIBOS</vt:lpstr>
      <vt:lpstr>CAIXA</vt:lpstr>
      <vt:lpstr>FLUXO</vt:lpstr>
      <vt:lpstr>Gasto com materiais</vt:lpstr>
      <vt:lpstr>Notas gastos</vt:lpstr>
      <vt:lpstr>Cadastro de senhas</vt:lpstr>
      <vt:lpstr>FLUXO!Area_de_impressao</vt:lpstr>
      <vt:lpstr>ORÇAMENTO!Area_de_impressao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Isaque</dc:creator>
  <cp:lastModifiedBy>Josias L. Josias L.</cp:lastModifiedBy>
  <cp:lastPrinted>2021-03-26T13:42:26Z</cp:lastPrinted>
  <dcterms:created xsi:type="dcterms:W3CDTF">2021-02-18T14:16:17Z</dcterms:created>
  <dcterms:modified xsi:type="dcterms:W3CDTF">2021-11-26T19:36:37Z</dcterms:modified>
</cp:coreProperties>
</file>